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WORK\모두의창업\2라운드\귀장착부\2차_260914\PPG_PCB_v0.8\kicad\"/>
    </mc:Choice>
  </mc:AlternateContent>
  <xr:revisionPtr revIDLastSave="0" documentId="13_ncr:1_{B99A5575-3C53-4556-B4E9-93ECE8A1F3B8}" xr6:coauthVersionLast="47" xr6:coauthVersionMax="47" xr10:uidLastSave="{00000000-0000-0000-0000-000000000000}"/>
  <bookViews>
    <workbookView xWindow="-110" yWindow="-110" windowWidth="25820" windowHeight="38620" xr2:uid="{00000000-000D-0000-FFFF-FFFF00000000}"/>
  </bookViews>
  <sheets>
    <sheet name="BOM" sheetId="1" r:id="rId1"/>
    <sheet name="검토사항" sheetId="2" r:id="rId2"/>
  </sheets>
  <definedNames>
    <definedName name="_xlnm._FilterDatabase" localSheetId="0" hidden="1">BOM!$A$8:$L$37</definedName>
    <definedName name="_xlnm.Print_Titles" localSheetId="0">BOM!$8:$8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H38" i="1"/>
  <c r="J37" i="1"/>
  <c r="J36" i="1"/>
  <c r="J35" i="1"/>
  <c r="J34" i="1"/>
  <c r="J33" i="1"/>
  <c r="J32" i="1"/>
  <c r="J31" i="1"/>
  <c r="J30" i="1"/>
  <c r="J29" i="1"/>
  <c r="J28" i="1"/>
  <c r="J27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38" i="1" s="1"/>
  <c r="J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BOM</author>
  </authors>
  <commentList>
    <comment ref="H6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생산 수량(EA). 필요수량 = Q'TY x 이 값. 업로드된 양식 예시값 5를 기본으로 둠 - 실제 수량으로 수정하세요.</t>
        </r>
      </text>
    </comment>
  </commentList>
</comments>
</file>

<file path=xl/sharedStrings.xml><?xml version="1.0" encoding="utf-8"?>
<sst xmlns="http://schemas.openxmlformats.org/spreadsheetml/2006/main" count="255" uniqueCount="164">
  <si>
    <t>BILL OF MATERIAL LIST
_Product List</t>
  </si>
  <si>
    <t>P/L NO. :</t>
  </si>
  <si>
    <t>RETI MODEL :</t>
  </si>
  <si>
    <t>MVP-PPG (ppg_pcb_v08)</t>
  </si>
  <si>
    <t>BUYER MODEL :</t>
  </si>
  <si>
    <t>작성일자 :</t>
  </si>
  <si>
    <t>2026-10-06</t>
  </si>
  <si>
    <t>담당 :</t>
  </si>
  <si>
    <t>수량(EA) :</t>
  </si>
  <si>
    <t>No.</t>
  </si>
  <si>
    <t>LEVEL</t>
  </si>
  <si>
    <t>Value</t>
  </si>
  <si>
    <t>Part</t>
  </si>
  <si>
    <t>Part number</t>
  </si>
  <si>
    <t>Short Description</t>
  </si>
  <si>
    <t>PACKAGE</t>
  </si>
  <si>
    <t>Q'TY</t>
  </si>
  <si>
    <t>LOCATION</t>
  </si>
  <si>
    <t>필요수량</t>
  </si>
  <si>
    <t>Vendor</t>
  </si>
  <si>
    <t>기타</t>
  </si>
  <si>
    <t>AUTO</t>
  </si>
  <si>
    <t>MLCC</t>
  </si>
  <si>
    <t>0.1uF/16V/0603</t>
  </si>
  <si>
    <t>MLCC/X7R/16V/0603</t>
  </si>
  <si>
    <t>CAP-0603(0201)</t>
  </si>
  <si>
    <t>C6,C7,C11,C15,C16</t>
  </si>
  <si>
    <t>Any</t>
  </si>
  <si>
    <t>참고 MPN 예시(미확정): GRM033R71C104KE14; 16V/X7R: 회로도 미기재 → 기존 BOM 보충값</t>
  </si>
  <si>
    <t>1uF/6.3V/0603</t>
  </si>
  <si>
    <t>MLCC/X5R/6.3V/0603</t>
  </si>
  <si>
    <t>C4,C5,C12,C14</t>
  </si>
  <si>
    <t>참고 MPN 예시(미확정): GRM033R60J105MEA2; X5R: 회로도 미기재 → 기존 BOM 보충값</t>
  </si>
  <si>
    <t>1uF/25V/1005</t>
  </si>
  <si>
    <t>MLCC/X7R/25V/1005</t>
  </si>
  <si>
    <t>CAP-1005</t>
  </si>
  <si>
    <t>C13</t>
  </si>
  <si>
    <t>참고 MPN 예시(미확정): GRM155R61E105KA12 (X7R 적합성 확인 필요)</t>
  </si>
  <si>
    <t>10uF/6.3V/1005</t>
  </si>
  <si>
    <t>MLCC/X5R/6.3V/1005</t>
  </si>
  <si>
    <t>C1</t>
  </si>
  <si>
    <t>참고 MPN 예시(미확정): GRM155R60J106ME47</t>
  </si>
  <si>
    <t>Chip-Res</t>
  </si>
  <si>
    <t>4.7k/1%/0603</t>
  </si>
  <si>
    <t>R/1%/0603</t>
  </si>
  <si>
    <t>RES-0603(0201)</t>
  </si>
  <si>
    <t>R1,R2</t>
  </si>
  <si>
    <t>1%: 회로도 미기재 → 기존 BOM 보충값</t>
  </si>
  <si>
    <t>10k/0603</t>
  </si>
  <si>
    <t>R/0603</t>
  </si>
  <si>
    <t>R4</t>
  </si>
  <si>
    <t>22/1005</t>
  </si>
  <si>
    <t>CRCW040222R0JNEDHP</t>
  </si>
  <si>
    <t>R/Pulse-proof/1005</t>
  </si>
  <si>
    <t>RES-1005</t>
  </si>
  <si>
    <t>R5,R6,R7,R8</t>
  </si>
  <si>
    <t>Vishay</t>
  </si>
  <si>
    <t>120/1%/1005</t>
  </si>
  <si>
    <t>CRCW0402120RFKEDHP</t>
  </si>
  <si>
    <t>R/1%/Pulse-proof/1005</t>
  </si>
  <si>
    <t>R3</t>
  </si>
  <si>
    <t>Bead</t>
  </si>
  <si>
    <t>BLM15PX601SN1D</t>
  </si>
  <si>
    <t>BEAD/600ohm/0.9A/1005</t>
  </si>
  <si>
    <t>L1005</t>
  </si>
  <si>
    <t>FB1</t>
  </si>
  <si>
    <t>Murata</t>
  </si>
  <si>
    <t>TVS</t>
  </si>
  <si>
    <t>SPHV15-01ETG</t>
  </si>
  <si>
    <t>TVS/15V/Uni</t>
  </si>
  <si>
    <t>SOD-882(1006)</t>
  </si>
  <si>
    <t>D1</t>
  </si>
  <si>
    <t>Littelfuse</t>
  </si>
  <si>
    <t>ESD351DPYR</t>
  </si>
  <si>
    <t>ESD TVS/3.6V/1.8pF</t>
  </si>
  <si>
    <t>X1SON-2 DPY(1006)</t>
  </si>
  <si>
    <t>D6,D7,D8</t>
  </si>
  <si>
    <t>Texas Instruments</t>
  </si>
  <si>
    <t>IC</t>
  </si>
  <si>
    <t>STM32C011F6U6</t>
  </si>
  <si>
    <t>MCU/Cortex-M0+/32KB Flash</t>
  </si>
  <si>
    <t>UFQFPN-20(3x3)</t>
  </si>
  <si>
    <t>U2</t>
  </si>
  <si>
    <t>STMicroelectronics</t>
  </si>
  <si>
    <t>XR33194</t>
  </si>
  <si>
    <t>XR33194ESBTR</t>
  </si>
  <si>
    <t>RS-422/485 Driver</t>
  </si>
  <si>
    <t>TSOT23-6</t>
  </si>
  <si>
    <t>U3</t>
  </si>
  <si>
    <t>MaxLinear</t>
  </si>
  <si>
    <t>MCP1703A-5002E/MC</t>
  </si>
  <si>
    <t>LDO/5V/250mA</t>
  </si>
  <si>
    <t>DFN-8-EP(2x3)</t>
  </si>
  <si>
    <t>U4</t>
  </si>
  <si>
    <t>Microchip</t>
  </si>
  <si>
    <t>MCP1703A-3302E/MC</t>
  </si>
  <si>
    <t>LDO/3.3V/250mA</t>
  </si>
  <si>
    <t>U5</t>
  </si>
  <si>
    <t>XR33183</t>
  </si>
  <si>
    <t>XR33183ESBTR</t>
  </si>
  <si>
    <t>RS-422/485 Receiver</t>
  </si>
  <si>
    <t>U6</t>
  </si>
  <si>
    <t>Module</t>
  </si>
  <si>
    <t>MAXM86161EFD+</t>
  </si>
  <si>
    <t>PPG Optical Module/AFE/I2C</t>
  </si>
  <si>
    <t>OLGA-14(2.9x4.3)</t>
  </si>
  <si>
    <t>U1</t>
  </si>
  <si>
    <t>Analog Devices (Maxim)</t>
  </si>
  <si>
    <t>지급품(consigned) - 기존 BOM 기준</t>
  </si>
  <si>
    <t>PCB 패드(테스트·케이블 패드) — 부품 없음, 필요수량 0</t>
  </si>
  <si>
    <t>PCB</t>
  </si>
  <si>
    <t>PCB Pad</t>
  </si>
  <si>
    <t>12V</t>
  </si>
  <si>
    <t>Cable Pad Ø1.2 (부품 없음)</t>
  </si>
  <si>
    <t>PAD-D1.2</t>
  </si>
  <si>
    <t>J1</t>
  </si>
  <si>
    <t>GND</t>
  </si>
  <si>
    <t>J2</t>
  </si>
  <si>
    <t>TXP</t>
  </si>
  <si>
    <t>J3</t>
  </si>
  <si>
    <t>TXN</t>
  </si>
  <si>
    <t>J4</t>
  </si>
  <si>
    <t>RXP</t>
  </si>
  <si>
    <t>J5</t>
  </si>
  <si>
    <t>RXN</t>
  </si>
  <si>
    <t>J6</t>
  </si>
  <si>
    <t>SWDIO</t>
  </si>
  <si>
    <t>Test Pad Ø0.8 (부품 없음)</t>
  </si>
  <si>
    <t>PAD-D0.8</t>
  </si>
  <si>
    <t>J7</t>
  </si>
  <si>
    <t>SWCLK</t>
  </si>
  <si>
    <t>J8</t>
  </si>
  <si>
    <t>NRST</t>
  </si>
  <si>
    <t>J9</t>
  </si>
  <si>
    <t>J10</t>
  </si>
  <si>
    <t>3V3_VTREF</t>
  </si>
  <si>
    <t>J11</t>
  </si>
  <si>
    <t>TOTAL (실장 기준, DNP/PCB 제외)</t>
  </si>
  <si>
    <t>추출 정보</t>
  </si>
  <si>
    <t>출처</t>
  </si>
  <si>
    <t>github.com/holison-001/MVP-PPG  kicad/ppg_pcb_v08.kicad_sch</t>
  </si>
  <si>
    <t>기준 커밋</t>
  </si>
  <si>
    <t>b9a4a25 (origin/main, 2026-10-06)</t>
  </si>
  <si>
    <t>추출 방법</t>
  </si>
  <si>
    <t>KiCad 10 kicad-cli sch export bom (참조별) → 값/전압/유전체/공차/사이즈/MPN 기준 그룹화</t>
  </si>
  <si>
    <t>추출일</t>
  </si>
  <si>
    <t>BOM 포함 참조 수</t>
  </si>
  <si>
    <t>실장 참조 수</t>
  </si>
  <si>
    <t>DNP 참조 수</t>
  </si>
  <si>
    <t>PCB 패드 참조 수</t>
  </si>
  <si>
    <t>BOM 제외 심볼</t>
  </si>
  <si>
    <t>없음</t>
  </si>
  <si>
    <t>보충값 출처</t>
  </si>
  <si>
    <t>기존 검토 BOM bom_sources.json (회로도에 없는 사양만 채움, 기타란에 표시)</t>
  </si>
  <si>
    <t>Vendor "Any"</t>
  </si>
  <si>
    <t>회로도에 제조사가 없는 범용 MLCC/칩저항/LED. 발주처 지정 필요</t>
  </si>
  <si>
    <t>BOM 시트 H6(수량 EA) × Q'TY. DNP/PCB 행은 0</t>
  </si>
  <si>
    <t>확인 필요 항목</t>
  </si>
  <si>
    <t>Reference</t>
  </si>
  <si>
    <t>내용</t>
  </si>
  <si>
    <t>회로도 미기재 사양을 기존 BOM 보충값으로 채움: X5R</t>
  </si>
  <si>
    <t>C6,C7,C11</t>
  </si>
  <si>
    <t>회로도 미기재 사양을 기존 BOM 보충값으로 채움: 16V/X7R</t>
  </si>
  <si>
    <t>회로도 미기재 사양을 기존 BOM 보충값으로 채움: 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</si>
</sst>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u/>
      <sz val="12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4" xfId="0" applyFont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0" fillId="3" borderId="12" xfId="0" applyFill="1" applyBorder="1"/>
    <xf numFmtId="0" fontId="4" fillId="3" borderId="12" xfId="0" applyFont="1" applyFill="1" applyBorder="1" applyAlignment="1">
      <alignment horizontal="left" vertical="center" wrapText="1"/>
    </xf>
    <xf numFmtId="0" fontId="6" fillId="0" borderId="0" xfId="0" applyFont="1"/>
    <xf numFmtId="0" fontId="4" fillId="0" borderId="12" xfId="0" applyFont="1" applyBorder="1"/>
    <xf numFmtId="0" fontId="3" fillId="0" borderId="12" xfId="0" applyFont="1" applyBorder="1" applyAlignment="1">
      <alignment horizontal="left" vertical="center"/>
    </xf>
    <xf numFmtId="0" fontId="4" fillId="3" borderId="12" xfId="0" applyFont="1" applyFill="1" applyBorder="1"/>
    <xf numFmtId="0" fontId="3" fillId="0" borderId="12" xfId="0" applyFont="1" applyBorder="1" applyAlignment="1">
      <alignment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0" fillId="0" borderId="12" xfId="0" applyBorder="1"/>
    <xf numFmtId="0" fontId="3" fillId="0" borderId="4" xfId="0" applyFont="1" applyBorder="1" applyAlignment="1">
      <alignment horizontal="left" vertical="center" wrapText="1"/>
    </xf>
    <xf numFmtId="0" fontId="0" fillId="0" borderId="5" xfId="0" applyBorder="1"/>
    <xf numFmtId="0" fontId="5" fillId="2" borderId="4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right" vertical="center"/>
    </xf>
    <xf numFmtId="0" fontId="0" fillId="3" borderId="12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8"/>
  <sheetViews>
    <sheetView showGridLines="0" tabSelected="1" workbookViewId="0">
      <pane ySplit="8" topLeftCell="A9" activePane="bottomLeft" state="frozen"/>
      <selection pane="bottomLeft" activeCell="H7" sqref="H7"/>
    </sheetView>
  </sheetViews>
  <sheetFormatPr defaultRowHeight="17" x14ac:dyDescent="0.45"/>
  <cols>
    <col min="1" max="1" width="5" customWidth="1"/>
    <col min="2" max="2" width="7" customWidth="1"/>
    <col min="3" max="3" width="10" customWidth="1"/>
    <col min="4" max="4" width="20" customWidth="1"/>
    <col min="5" max="5" width="22" customWidth="1"/>
    <col min="6" max="6" width="30" customWidth="1"/>
    <col min="7" max="7" width="17" customWidth="1"/>
    <col min="8" max="8" width="6" customWidth="1"/>
    <col min="9" max="9" width="62" customWidth="1"/>
    <col min="10" max="10" width="8" customWidth="1"/>
    <col min="11" max="11" width="18" customWidth="1"/>
    <col min="12" max="12" width="34" customWidth="1"/>
  </cols>
  <sheetData>
    <row r="1" spans="1:12" ht="13" customHeight="1" x14ac:dyDescent="0.45">
      <c r="A1" s="20" t="s">
        <v>0</v>
      </c>
      <c r="B1" s="21"/>
      <c r="C1" s="21"/>
      <c r="D1" s="21"/>
      <c r="E1" s="21"/>
      <c r="F1" s="22"/>
      <c r="G1" s="1" t="s">
        <v>1</v>
      </c>
      <c r="H1" s="15"/>
      <c r="I1" s="16"/>
    </row>
    <row r="2" spans="1:12" ht="13" customHeight="1" x14ac:dyDescent="0.45">
      <c r="A2" s="23"/>
      <c r="B2" s="24"/>
      <c r="C2" s="24"/>
      <c r="D2" s="24"/>
      <c r="E2" s="24"/>
      <c r="F2" s="25"/>
      <c r="G2" s="1" t="s">
        <v>2</v>
      </c>
      <c r="H2" s="15" t="s">
        <v>3</v>
      </c>
      <c r="I2" s="16"/>
    </row>
    <row r="3" spans="1:12" ht="13" customHeight="1" x14ac:dyDescent="0.45">
      <c r="A3" s="23"/>
      <c r="B3" s="24"/>
      <c r="C3" s="24"/>
      <c r="D3" s="24"/>
      <c r="E3" s="24"/>
      <c r="F3" s="25"/>
      <c r="G3" s="1" t="s">
        <v>4</v>
      </c>
      <c r="H3" s="15"/>
      <c r="I3" s="16"/>
    </row>
    <row r="4" spans="1:12" ht="13" customHeight="1" x14ac:dyDescent="0.45">
      <c r="A4" s="23"/>
      <c r="B4" s="24"/>
      <c r="C4" s="24"/>
      <c r="D4" s="24"/>
      <c r="E4" s="24"/>
      <c r="F4" s="25"/>
      <c r="G4" s="1" t="s">
        <v>5</v>
      </c>
      <c r="H4" s="15" t="s">
        <v>6</v>
      </c>
      <c r="I4" s="16"/>
    </row>
    <row r="5" spans="1:12" ht="13" customHeight="1" x14ac:dyDescent="0.45">
      <c r="A5" s="23"/>
      <c r="B5" s="24"/>
      <c r="C5" s="24"/>
      <c r="D5" s="24"/>
      <c r="E5" s="24"/>
      <c r="F5" s="25"/>
      <c r="G5" s="1" t="s">
        <v>7</v>
      </c>
      <c r="H5" s="15"/>
      <c r="I5" s="16"/>
    </row>
    <row r="6" spans="1:12" ht="13" customHeight="1" x14ac:dyDescent="0.45">
      <c r="A6" s="26"/>
      <c r="B6" s="27"/>
      <c r="C6" s="27"/>
      <c r="D6" s="27"/>
      <c r="E6" s="27"/>
      <c r="F6" s="28"/>
      <c r="G6" s="1" t="s">
        <v>8</v>
      </c>
      <c r="H6" s="17">
        <v>10</v>
      </c>
      <c r="I6" s="16"/>
    </row>
    <row r="8" spans="1:12" ht="22" customHeight="1" x14ac:dyDescent="0.4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</row>
    <row r="9" spans="1:12" ht="25" customHeight="1" x14ac:dyDescent="0.45">
      <c r="A9" s="3">
        <v>1</v>
      </c>
      <c r="B9" s="3" t="s">
        <v>21</v>
      </c>
      <c r="C9" s="3" t="s">
        <v>22</v>
      </c>
      <c r="D9" s="4" t="s">
        <v>23</v>
      </c>
      <c r="E9" s="5"/>
      <c r="F9" s="5" t="s">
        <v>24</v>
      </c>
      <c r="G9" s="3" t="s">
        <v>25</v>
      </c>
      <c r="H9" s="3">
        <v>5</v>
      </c>
      <c r="I9" s="5" t="s">
        <v>26</v>
      </c>
      <c r="J9" s="3">
        <f t="shared" ref="J9:J25" si="0">IF(OR(B9="DNP",B9="PCB"),0,H9*$H$6)</f>
        <v>50</v>
      </c>
      <c r="K9" s="5" t="s">
        <v>27</v>
      </c>
      <c r="L9" s="5" t="s">
        <v>28</v>
      </c>
    </row>
    <row r="10" spans="1:12" ht="25" customHeight="1" x14ac:dyDescent="0.45">
      <c r="A10" s="3">
        <v>2</v>
      </c>
      <c r="B10" s="3" t="s">
        <v>21</v>
      </c>
      <c r="C10" s="3" t="s">
        <v>22</v>
      </c>
      <c r="D10" s="4" t="s">
        <v>29</v>
      </c>
      <c r="E10" s="5"/>
      <c r="F10" s="5" t="s">
        <v>30</v>
      </c>
      <c r="G10" s="3" t="s">
        <v>25</v>
      </c>
      <c r="H10" s="3">
        <v>4</v>
      </c>
      <c r="I10" s="5" t="s">
        <v>31</v>
      </c>
      <c r="J10" s="3">
        <f t="shared" si="0"/>
        <v>40</v>
      </c>
      <c r="K10" s="5" t="s">
        <v>27</v>
      </c>
      <c r="L10" s="5" t="s">
        <v>32</v>
      </c>
    </row>
    <row r="11" spans="1:12" ht="25" customHeight="1" x14ac:dyDescent="0.45">
      <c r="A11" s="3">
        <v>3</v>
      </c>
      <c r="B11" s="3" t="s">
        <v>21</v>
      </c>
      <c r="C11" s="3" t="s">
        <v>22</v>
      </c>
      <c r="D11" s="4" t="s">
        <v>33</v>
      </c>
      <c r="E11" s="5"/>
      <c r="F11" s="5" t="s">
        <v>34</v>
      </c>
      <c r="G11" s="3" t="s">
        <v>35</v>
      </c>
      <c r="H11" s="3">
        <v>1</v>
      </c>
      <c r="I11" s="5" t="s">
        <v>36</v>
      </c>
      <c r="J11" s="3">
        <f t="shared" si="0"/>
        <v>10</v>
      </c>
      <c r="K11" s="5" t="s">
        <v>27</v>
      </c>
      <c r="L11" s="5" t="s">
        <v>37</v>
      </c>
    </row>
    <row r="12" spans="1:12" ht="13.5" customHeight="1" x14ac:dyDescent="0.45">
      <c r="A12" s="3">
        <v>4</v>
      </c>
      <c r="B12" s="3" t="s">
        <v>21</v>
      </c>
      <c r="C12" s="3" t="s">
        <v>22</v>
      </c>
      <c r="D12" s="4" t="s">
        <v>38</v>
      </c>
      <c r="E12" s="5"/>
      <c r="F12" s="5" t="s">
        <v>39</v>
      </c>
      <c r="G12" s="3" t="s">
        <v>35</v>
      </c>
      <c r="H12" s="3">
        <v>1</v>
      </c>
      <c r="I12" s="5" t="s">
        <v>40</v>
      </c>
      <c r="J12" s="3">
        <f t="shared" si="0"/>
        <v>10</v>
      </c>
      <c r="K12" s="5" t="s">
        <v>27</v>
      </c>
      <c r="L12" s="5" t="s">
        <v>41</v>
      </c>
    </row>
    <row r="13" spans="1:12" ht="13.5" customHeight="1" x14ac:dyDescent="0.45">
      <c r="A13" s="3">
        <v>5</v>
      </c>
      <c r="B13" s="3" t="s">
        <v>21</v>
      </c>
      <c r="C13" s="3" t="s">
        <v>42</v>
      </c>
      <c r="D13" s="4" t="s">
        <v>43</v>
      </c>
      <c r="E13" s="5"/>
      <c r="F13" s="5" t="s">
        <v>44</v>
      </c>
      <c r="G13" s="3" t="s">
        <v>45</v>
      </c>
      <c r="H13" s="3">
        <v>2</v>
      </c>
      <c r="I13" s="5" t="s">
        <v>46</v>
      </c>
      <c r="J13" s="3">
        <f t="shared" si="0"/>
        <v>20</v>
      </c>
      <c r="K13" s="5" t="s">
        <v>27</v>
      </c>
      <c r="L13" s="5" t="s">
        <v>47</v>
      </c>
    </row>
    <row r="14" spans="1:12" ht="13.5" customHeight="1" x14ac:dyDescent="0.45">
      <c r="A14" s="3">
        <v>6</v>
      </c>
      <c r="B14" s="3" t="s">
        <v>21</v>
      </c>
      <c r="C14" s="3" t="s">
        <v>42</v>
      </c>
      <c r="D14" s="4" t="s">
        <v>48</v>
      </c>
      <c r="E14" s="5"/>
      <c r="F14" s="5" t="s">
        <v>49</v>
      </c>
      <c r="G14" s="3" t="s">
        <v>45</v>
      </c>
      <c r="H14" s="3">
        <v>1</v>
      </c>
      <c r="I14" s="5" t="s">
        <v>50</v>
      </c>
      <c r="J14" s="3">
        <f t="shared" si="0"/>
        <v>10</v>
      </c>
      <c r="K14" s="5" t="s">
        <v>27</v>
      </c>
      <c r="L14" s="5"/>
    </row>
    <row r="15" spans="1:12" ht="13.5" customHeight="1" x14ac:dyDescent="0.45">
      <c r="A15" s="3">
        <v>7</v>
      </c>
      <c r="B15" s="3" t="s">
        <v>21</v>
      </c>
      <c r="C15" s="3" t="s">
        <v>42</v>
      </c>
      <c r="D15" s="4" t="s">
        <v>51</v>
      </c>
      <c r="E15" s="5" t="s">
        <v>52</v>
      </c>
      <c r="F15" s="5" t="s">
        <v>53</v>
      </c>
      <c r="G15" s="3" t="s">
        <v>54</v>
      </c>
      <c r="H15" s="3">
        <v>4</v>
      </c>
      <c r="I15" s="5" t="s">
        <v>55</v>
      </c>
      <c r="J15" s="3">
        <f t="shared" si="0"/>
        <v>40</v>
      </c>
      <c r="K15" s="5" t="s">
        <v>56</v>
      </c>
      <c r="L15" s="5"/>
    </row>
    <row r="16" spans="1:12" ht="13.5" customHeight="1" x14ac:dyDescent="0.45">
      <c r="A16" s="3">
        <v>8</v>
      </c>
      <c r="B16" s="3" t="s">
        <v>21</v>
      </c>
      <c r="C16" s="3" t="s">
        <v>42</v>
      </c>
      <c r="D16" s="4" t="s">
        <v>57</v>
      </c>
      <c r="E16" s="5" t="s">
        <v>58</v>
      </c>
      <c r="F16" s="5" t="s">
        <v>59</v>
      </c>
      <c r="G16" s="3" t="s">
        <v>54</v>
      </c>
      <c r="H16" s="3">
        <v>1</v>
      </c>
      <c r="I16" s="5" t="s">
        <v>60</v>
      </c>
      <c r="J16" s="3">
        <f t="shared" si="0"/>
        <v>10</v>
      </c>
      <c r="K16" s="5" t="s">
        <v>56</v>
      </c>
      <c r="L16" s="5"/>
    </row>
    <row r="17" spans="1:12" ht="13.5" customHeight="1" x14ac:dyDescent="0.45">
      <c r="A17" s="3">
        <v>9</v>
      </c>
      <c r="B17" s="3" t="s">
        <v>21</v>
      </c>
      <c r="C17" s="3" t="s">
        <v>61</v>
      </c>
      <c r="D17" s="4" t="s">
        <v>62</v>
      </c>
      <c r="E17" s="5" t="s">
        <v>62</v>
      </c>
      <c r="F17" s="5" t="s">
        <v>63</v>
      </c>
      <c r="G17" s="3" t="s">
        <v>64</v>
      </c>
      <c r="H17" s="3">
        <v>1</v>
      </c>
      <c r="I17" s="5" t="s">
        <v>65</v>
      </c>
      <c r="J17" s="3">
        <f t="shared" si="0"/>
        <v>10</v>
      </c>
      <c r="K17" s="5" t="s">
        <v>66</v>
      </c>
      <c r="L17" s="5"/>
    </row>
    <row r="18" spans="1:12" ht="13.5" customHeight="1" x14ac:dyDescent="0.45">
      <c r="A18" s="3">
        <v>10</v>
      </c>
      <c r="B18" s="3" t="s">
        <v>21</v>
      </c>
      <c r="C18" s="3" t="s">
        <v>67</v>
      </c>
      <c r="D18" s="4" t="s">
        <v>68</v>
      </c>
      <c r="E18" s="5" t="s">
        <v>68</v>
      </c>
      <c r="F18" s="5" t="s">
        <v>69</v>
      </c>
      <c r="G18" s="3" t="s">
        <v>70</v>
      </c>
      <c r="H18" s="3">
        <v>1</v>
      </c>
      <c r="I18" s="5" t="s">
        <v>71</v>
      </c>
      <c r="J18" s="3">
        <f t="shared" si="0"/>
        <v>10</v>
      </c>
      <c r="K18" s="5" t="s">
        <v>72</v>
      </c>
      <c r="L18" s="5"/>
    </row>
    <row r="19" spans="1:12" ht="13.5" customHeight="1" x14ac:dyDescent="0.45">
      <c r="A19" s="3">
        <v>11</v>
      </c>
      <c r="B19" s="3" t="s">
        <v>21</v>
      </c>
      <c r="C19" s="3" t="s">
        <v>67</v>
      </c>
      <c r="D19" s="4" t="s">
        <v>73</v>
      </c>
      <c r="E19" s="5" t="s">
        <v>73</v>
      </c>
      <c r="F19" s="5" t="s">
        <v>74</v>
      </c>
      <c r="G19" s="3" t="s">
        <v>75</v>
      </c>
      <c r="H19" s="3">
        <v>3</v>
      </c>
      <c r="I19" s="5" t="s">
        <v>76</v>
      </c>
      <c r="J19" s="3">
        <f t="shared" si="0"/>
        <v>30</v>
      </c>
      <c r="K19" s="5" t="s">
        <v>77</v>
      </c>
      <c r="L19" s="5"/>
    </row>
    <row r="20" spans="1:12" ht="13.5" customHeight="1" x14ac:dyDescent="0.45">
      <c r="A20" s="3">
        <v>12</v>
      </c>
      <c r="B20" s="3" t="s">
        <v>21</v>
      </c>
      <c r="C20" s="3" t="s">
        <v>78</v>
      </c>
      <c r="D20" s="4" t="s">
        <v>79</v>
      </c>
      <c r="E20" s="5" t="s">
        <v>79</v>
      </c>
      <c r="F20" s="5" t="s">
        <v>80</v>
      </c>
      <c r="G20" s="3" t="s">
        <v>81</v>
      </c>
      <c r="H20" s="3">
        <v>1</v>
      </c>
      <c r="I20" s="5" t="s">
        <v>82</v>
      </c>
      <c r="J20" s="3">
        <f t="shared" si="0"/>
        <v>10</v>
      </c>
      <c r="K20" s="5" t="s">
        <v>83</v>
      </c>
      <c r="L20" s="5"/>
    </row>
    <row r="21" spans="1:12" ht="13.5" customHeight="1" x14ac:dyDescent="0.45">
      <c r="A21" s="3">
        <v>13</v>
      </c>
      <c r="B21" s="3" t="s">
        <v>21</v>
      </c>
      <c r="C21" s="3" t="s">
        <v>78</v>
      </c>
      <c r="D21" s="4" t="s">
        <v>84</v>
      </c>
      <c r="E21" s="5" t="s">
        <v>85</v>
      </c>
      <c r="F21" s="5" t="s">
        <v>86</v>
      </c>
      <c r="G21" s="3" t="s">
        <v>87</v>
      </c>
      <c r="H21" s="3">
        <v>1</v>
      </c>
      <c r="I21" s="5" t="s">
        <v>88</v>
      </c>
      <c r="J21" s="3">
        <f t="shared" si="0"/>
        <v>10</v>
      </c>
      <c r="K21" s="5" t="s">
        <v>89</v>
      </c>
      <c r="L21" s="5"/>
    </row>
    <row r="22" spans="1:12" ht="13.5" customHeight="1" x14ac:dyDescent="0.45">
      <c r="A22" s="3">
        <v>14</v>
      </c>
      <c r="B22" s="3" t="s">
        <v>21</v>
      </c>
      <c r="C22" s="3" t="s">
        <v>78</v>
      </c>
      <c r="D22" s="4" t="s">
        <v>90</v>
      </c>
      <c r="E22" s="5" t="s">
        <v>90</v>
      </c>
      <c r="F22" s="5" t="s">
        <v>91</v>
      </c>
      <c r="G22" s="3" t="s">
        <v>92</v>
      </c>
      <c r="H22" s="3">
        <v>1</v>
      </c>
      <c r="I22" s="5" t="s">
        <v>93</v>
      </c>
      <c r="J22" s="3">
        <f t="shared" si="0"/>
        <v>10</v>
      </c>
      <c r="K22" s="5" t="s">
        <v>94</v>
      </c>
      <c r="L22" s="5"/>
    </row>
    <row r="23" spans="1:12" ht="13.5" customHeight="1" x14ac:dyDescent="0.45">
      <c r="A23" s="3">
        <v>15</v>
      </c>
      <c r="B23" s="3" t="s">
        <v>21</v>
      </c>
      <c r="C23" s="3" t="s">
        <v>78</v>
      </c>
      <c r="D23" s="4" t="s">
        <v>95</v>
      </c>
      <c r="E23" s="5" t="s">
        <v>95</v>
      </c>
      <c r="F23" s="5" t="s">
        <v>96</v>
      </c>
      <c r="G23" s="3" t="s">
        <v>92</v>
      </c>
      <c r="H23" s="3">
        <v>1</v>
      </c>
      <c r="I23" s="5" t="s">
        <v>97</v>
      </c>
      <c r="J23" s="3">
        <f t="shared" si="0"/>
        <v>10</v>
      </c>
      <c r="K23" s="5" t="s">
        <v>94</v>
      </c>
      <c r="L23" s="5"/>
    </row>
    <row r="24" spans="1:12" ht="13.5" customHeight="1" x14ac:dyDescent="0.45">
      <c r="A24" s="3">
        <v>16</v>
      </c>
      <c r="B24" s="3" t="s">
        <v>21</v>
      </c>
      <c r="C24" s="3" t="s">
        <v>78</v>
      </c>
      <c r="D24" s="4" t="s">
        <v>98</v>
      </c>
      <c r="E24" s="5" t="s">
        <v>99</v>
      </c>
      <c r="F24" s="5" t="s">
        <v>100</v>
      </c>
      <c r="G24" s="3" t="s">
        <v>87</v>
      </c>
      <c r="H24" s="3">
        <v>1</v>
      </c>
      <c r="I24" s="5" t="s">
        <v>101</v>
      </c>
      <c r="J24" s="3">
        <f t="shared" si="0"/>
        <v>10</v>
      </c>
      <c r="K24" s="5" t="s">
        <v>89</v>
      </c>
      <c r="L24" s="5"/>
    </row>
    <row r="25" spans="1:12" ht="13.5" customHeight="1" x14ac:dyDescent="0.45">
      <c r="A25" s="3">
        <v>17</v>
      </c>
      <c r="B25" s="3" t="s">
        <v>21</v>
      </c>
      <c r="C25" s="3" t="s">
        <v>102</v>
      </c>
      <c r="D25" s="4" t="s">
        <v>103</v>
      </c>
      <c r="E25" s="5" t="s">
        <v>103</v>
      </c>
      <c r="F25" s="5" t="s">
        <v>104</v>
      </c>
      <c r="G25" s="3" t="s">
        <v>105</v>
      </c>
      <c r="H25" s="3">
        <v>1</v>
      </c>
      <c r="I25" s="5" t="s">
        <v>106</v>
      </c>
      <c r="J25" s="3">
        <f t="shared" si="0"/>
        <v>10</v>
      </c>
      <c r="K25" s="5" t="s">
        <v>107</v>
      </c>
      <c r="L25" s="5" t="s">
        <v>108</v>
      </c>
    </row>
    <row r="26" spans="1:12" x14ac:dyDescent="0.45">
      <c r="A26" s="13" t="s">
        <v>109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13.5" customHeight="1" x14ac:dyDescent="0.45">
      <c r="A27" s="3">
        <v>18</v>
      </c>
      <c r="B27" s="3" t="s">
        <v>110</v>
      </c>
      <c r="C27" s="3" t="s">
        <v>111</v>
      </c>
      <c r="D27" s="4" t="s">
        <v>112</v>
      </c>
      <c r="E27" s="5"/>
      <c r="F27" s="5" t="s">
        <v>113</v>
      </c>
      <c r="G27" s="3" t="s">
        <v>114</v>
      </c>
      <c r="H27" s="3">
        <v>1</v>
      </c>
      <c r="I27" s="5" t="s">
        <v>115</v>
      </c>
      <c r="J27" s="3">
        <f t="shared" ref="J27:J37" si="1">IF(OR(B27="DNP",B27="PCB"),0,H27*$H$6)</f>
        <v>0</v>
      </c>
      <c r="K27" s="5"/>
      <c r="L27" s="5"/>
    </row>
    <row r="28" spans="1:12" ht="13.5" customHeight="1" x14ac:dyDescent="0.45">
      <c r="A28" s="3">
        <v>19</v>
      </c>
      <c r="B28" s="3" t="s">
        <v>110</v>
      </c>
      <c r="C28" s="3" t="s">
        <v>111</v>
      </c>
      <c r="D28" s="4" t="s">
        <v>116</v>
      </c>
      <c r="E28" s="5"/>
      <c r="F28" s="5" t="s">
        <v>113</v>
      </c>
      <c r="G28" s="3" t="s">
        <v>114</v>
      </c>
      <c r="H28" s="3">
        <v>1</v>
      </c>
      <c r="I28" s="5" t="s">
        <v>117</v>
      </c>
      <c r="J28" s="3">
        <f t="shared" si="1"/>
        <v>0</v>
      </c>
      <c r="K28" s="5"/>
      <c r="L28" s="5"/>
    </row>
    <row r="29" spans="1:12" ht="13.5" customHeight="1" x14ac:dyDescent="0.45">
      <c r="A29" s="3">
        <v>20</v>
      </c>
      <c r="B29" s="3" t="s">
        <v>110</v>
      </c>
      <c r="C29" s="3" t="s">
        <v>111</v>
      </c>
      <c r="D29" s="4" t="s">
        <v>118</v>
      </c>
      <c r="E29" s="5"/>
      <c r="F29" s="5" t="s">
        <v>113</v>
      </c>
      <c r="G29" s="3" t="s">
        <v>114</v>
      </c>
      <c r="H29" s="3">
        <v>1</v>
      </c>
      <c r="I29" s="5" t="s">
        <v>119</v>
      </c>
      <c r="J29" s="3">
        <f t="shared" si="1"/>
        <v>0</v>
      </c>
      <c r="K29" s="5"/>
      <c r="L29" s="5"/>
    </row>
    <row r="30" spans="1:12" ht="13.5" customHeight="1" x14ac:dyDescent="0.45">
      <c r="A30" s="3">
        <v>21</v>
      </c>
      <c r="B30" s="3" t="s">
        <v>110</v>
      </c>
      <c r="C30" s="3" t="s">
        <v>111</v>
      </c>
      <c r="D30" s="4" t="s">
        <v>120</v>
      </c>
      <c r="E30" s="5"/>
      <c r="F30" s="5" t="s">
        <v>113</v>
      </c>
      <c r="G30" s="3" t="s">
        <v>114</v>
      </c>
      <c r="H30" s="3">
        <v>1</v>
      </c>
      <c r="I30" s="5" t="s">
        <v>121</v>
      </c>
      <c r="J30" s="3">
        <f t="shared" si="1"/>
        <v>0</v>
      </c>
      <c r="K30" s="5"/>
      <c r="L30" s="5"/>
    </row>
    <row r="31" spans="1:12" ht="13.5" customHeight="1" x14ac:dyDescent="0.45">
      <c r="A31" s="3">
        <v>22</v>
      </c>
      <c r="B31" s="3" t="s">
        <v>110</v>
      </c>
      <c r="C31" s="3" t="s">
        <v>111</v>
      </c>
      <c r="D31" s="4" t="s">
        <v>122</v>
      </c>
      <c r="E31" s="5"/>
      <c r="F31" s="5" t="s">
        <v>113</v>
      </c>
      <c r="G31" s="3" t="s">
        <v>114</v>
      </c>
      <c r="H31" s="3">
        <v>1</v>
      </c>
      <c r="I31" s="5" t="s">
        <v>123</v>
      </c>
      <c r="J31" s="3">
        <f t="shared" si="1"/>
        <v>0</v>
      </c>
      <c r="K31" s="5"/>
      <c r="L31" s="5"/>
    </row>
    <row r="32" spans="1:12" ht="13.5" customHeight="1" x14ac:dyDescent="0.45">
      <c r="A32" s="3">
        <v>23</v>
      </c>
      <c r="B32" s="3" t="s">
        <v>110</v>
      </c>
      <c r="C32" s="3" t="s">
        <v>111</v>
      </c>
      <c r="D32" s="4" t="s">
        <v>124</v>
      </c>
      <c r="E32" s="5"/>
      <c r="F32" s="5" t="s">
        <v>113</v>
      </c>
      <c r="G32" s="3" t="s">
        <v>114</v>
      </c>
      <c r="H32" s="3">
        <v>1</v>
      </c>
      <c r="I32" s="5" t="s">
        <v>125</v>
      </c>
      <c r="J32" s="3">
        <f t="shared" si="1"/>
        <v>0</v>
      </c>
      <c r="K32" s="5"/>
      <c r="L32" s="5"/>
    </row>
    <row r="33" spans="1:12" ht="13.5" customHeight="1" x14ac:dyDescent="0.45">
      <c r="A33" s="3">
        <v>24</v>
      </c>
      <c r="B33" s="3" t="s">
        <v>110</v>
      </c>
      <c r="C33" s="3" t="s">
        <v>111</v>
      </c>
      <c r="D33" s="4" t="s">
        <v>126</v>
      </c>
      <c r="E33" s="5"/>
      <c r="F33" s="5" t="s">
        <v>127</v>
      </c>
      <c r="G33" s="3" t="s">
        <v>128</v>
      </c>
      <c r="H33" s="3">
        <v>1</v>
      </c>
      <c r="I33" s="5" t="s">
        <v>129</v>
      </c>
      <c r="J33" s="3">
        <f t="shared" si="1"/>
        <v>0</v>
      </c>
      <c r="K33" s="5"/>
      <c r="L33" s="5"/>
    </row>
    <row r="34" spans="1:12" ht="13.5" customHeight="1" x14ac:dyDescent="0.45">
      <c r="A34" s="3">
        <v>25</v>
      </c>
      <c r="B34" s="3" t="s">
        <v>110</v>
      </c>
      <c r="C34" s="3" t="s">
        <v>111</v>
      </c>
      <c r="D34" s="4" t="s">
        <v>130</v>
      </c>
      <c r="E34" s="5"/>
      <c r="F34" s="5" t="s">
        <v>127</v>
      </c>
      <c r="G34" s="3" t="s">
        <v>128</v>
      </c>
      <c r="H34" s="3">
        <v>1</v>
      </c>
      <c r="I34" s="5" t="s">
        <v>131</v>
      </c>
      <c r="J34" s="3">
        <f t="shared" si="1"/>
        <v>0</v>
      </c>
      <c r="K34" s="5"/>
      <c r="L34" s="5"/>
    </row>
    <row r="35" spans="1:12" ht="13.5" customHeight="1" x14ac:dyDescent="0.45">
      <c r="A35" s="3">
        <v>26</v>
      </c>
      <c r="B35" s="3" t="s">
        <v>110</v>
      </c>
      <c r="C35" s="3" t="s">
        <v>111</v>
      </c>
      <c r="D35" s="4" t="s">
        <v>132</v>
      </c>
      <c r="E35" s="5"/>
      <c r="F35" s="5" t="s">
        <v>127</v>
      </c>
      <c r="G35" s="3" t="s">
        <v>128</v>
      </c>
      <c r="H35" s="3">
        <v>1</v>
      </c>
      <c r="I35" s="5" t="s">
        <v>133</v>
      </c>
      <c r="J35" s="3">
        <f t="shared" si="1"/>
        <v>0</v>
      </c>
      <c r="K35" s="5"/>
      <c r="L35" s="5"/>
    </row>
    <row r="36" spans="1:12" ht="13.5" customHeight="1" x14ac:dyDescent="0.45">
      <c r="A36" s="3">
        <v>27</v>
      </c>
      <c r="B36" s="3" t="s">
        <v>110</v>
      </c>
      <c r="C36" s="3" t="s">
        <v>111</v>
      </c>
      <c r="D36" s="4" t="s">
        <v>116</v>
      </c>
      <c r="E36" s="5"/>
      <c r="F36" s="5" t="s">
        <v>127</v>
      </c>
      <c r="G36" s="3" t="s">
        <v>128</v>
      </c>
      <c r="H36" s="3">
        <v>1</v>
      </c>
      <c r="I36" s="5" t="s">
        <v>134</v>
      </c>
      <c r="J36" s="3">
        <f t="shared" si="1"/>
        <v>0</v>
      </c>
      <c r="K36" s="5"/>
      <c r="L36" s="5"/>
    </row>
    <row r="37" spans="1:12" ht="13.5" customHeight="1" x14ac:dyDescent="0.45">
      <c r="A37" s="3">
        <v>28</v>
      </c>
      <c r="B37" s="3" t="s">
        <v>110</v>
      </c>
      <c r="C37" s="3" t="s">
        <v>111</v>
      </c>
      <c r="D37" s="4" t="s">
        <v>135</v>
      </c>
      <c r="E37" s="5"/>
      <c r="F37" s="5" t="s">
        <v>127</v>
      </c>
      <c r="G37" s="3" t="s">
        <v>128</v>
      </c>
      <c r="H37" s="3">
        <v>1</v>
      </c>
      <c r="I37" s="5" t="s">
        <v>136</v>
      </c>
      <c r="J37" s="3">
        <f t="shared" si="1"/>
        <v>0</v>
      </c>
      <c r="K37" s="5"/>
      <c r="L37" s="5"/>
    </row>
    <row r="38" spans="1:12" x14ac:dyDescent="0.45">
      <c r="A38" s="18" t="s">
        <v>137</v>
      </c>
      <c r="B38" s="19"/>
      <c r="C38" s="19"/>
      <c r="D38" s="19"/>
      <c r="E38" s="19"/>
      <c r="F38" s="19"/>
      <c r="G38" s="19"/>
      <c r="H38" s="2">
        <f>SUMIFS(H9:H37,B9:B37,"&lt;&gt;DNP",B9:B37,"&lt;&gt;PCB")</f>
        <v>30</v>
      </c>
      <c r="I38" s="7" t="str">
        <f>COUNTIFS(B9:B37,"&lt;&gt;DNP",B9:B37,"&lt;&gt;PCB",B9:B37,"&lt;&gt;")&amp;" 품목"</f>
        <v>17 품목</v>
      </c>
      <c r="J38" s="2">
        <f>SUM(J9:J37)</f>
        <v>300</v>
      </c>
      <c r="K38" s="6"/>
      <c r="L38" s="6"/>
    </row>
  </sheetData>
  <autoFilter ref="A8:L37" xr:uid="{00000000-0009-0000-0000-000000000000}"/>
  <mergeCells count="9">
    <mergeCell ref="A26:L26"/>
    <mergeCell ref="H2:I2"/>
    <mergeCell ref="H6:I6"/>
    <mergeCell ref="H1:I1"/>
    <mergeCell ref="A38:G38"/>
    <mergeCell ref="H5:I5"/>
    <mergeCell ref="H4:I4"/>
    <mergeCell ref="A1:F6"/>
    <mergeCell ref="H3:I3"/>
  </mergeCells>
  <phoneticPr fontId="7" type="noConversion"/>
  <pageMargins left="0.3" right="0.3" top="0.4" bottom="0.4" header="0.5" footer="0.5"/>
  <pageSetup paperSize="8" fitToHeight="0" orientation="landscape"/>
  <headerFooter>
    <oddFooter>&amp;C&amp;P /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showGridLines="0" workbookViewId="0"/>
  </sheetViews>
  <sheetFormatPr defaultRowHeight="17" x14ac:dyDescent="0.45"/>
  <cols>
    <col min="1" max="1" width="22" customWidth="1"/>
    <col min="2" max="2" width="100" customWidth="1"/>
  </cols>
  <sheetData>
    <row r="1" spans="1:2" x14ac:dyDescent="0.45">
      <c r="A1" s="8" t="s">
        <v>138</v>
      </c>
    </row>
    <row r="2" spans="1:2" x14ac:dyDescent="0.45">
      <c r="A2" s="9" t="s">
        <v>139</v>
      </c>
      <c r="B2" s="10" t="s">
        <v>140</v>
      </c>
    </row>
    <row r="3" spans="1:2" x14ac:dyDescent="0.45">
      <c r="A3" s="9" t="s">
        <v>141</v>
      </c>
      <c r="B3" s="10" t="s">
        <v>142</v>
      </c>
    </row>
    <row r="4" spans="1:2" x14ac:dyDescent="0.45">
      <c r="A4" s="9" t="s">
        <v>143</v>
      </c>
      <c r="B4" s="10" t="s">
        <v>144</v>
      </c>
    </row>
    <row r="5" spans="1:2" x14ac:dyDescent="0.45">
      <c r="A5" s="9" t="s">
        <v>145</v>
      </c>
      <c r="B5" s="10" t="s">
        <v>6</v>
      </c>
    </row>
    <row r="6" spans="1:2" x14ac:dyDescent="0.45">
      <c r="A6" s="9" t="s">
        <v>146</v>
      </c>
      <c r="B6" s="10">
        <v>41</v>
      </c>
    </row>
    <row r="7" spans="1:2" x14ac:dyDescent="0.45">
      <c r="A7" s="9" t="s">
        <v>147</v>
      </c>
      <c r="B7" s="10">
        <v>30</v>
      </c>
    </row>
    <row r="8" spans="1:2" x14ac:dyDescent="0.45">
      <c r="A8" s="9" t="s">
        <v>148</v>
      </c>
      <c r="B8" s="10">
        <v>0</v>
      </c>
    </row>
    <row r="9" spans="1:2" x14ac:dyDescent="0.45">
      <c r="A9" s="9" t="s">
        <v>149</v>
      </c>
      <c r="B9" s="10">
        <v>11</v>
      </c>
    </row>
    <row r="10" spans="1:2" x14ac:dyDescent="0.45">
      <c r="A10" s="9" t="s">
        <v>150</v>
      </c>
      <c r="B10" s="10" t="s">
        <v>151</v>
      </c>
    </row>
    <row r="11" spans="1:2" x14ac:dyDescent="0.45">
      <c r="A11" s="9" t="s">
        <v>152</v>
      </c>
      <c r="B11" s="10" t="s">
        <v>153</v>
      </c>
    </row>
    <row r="12" spans="1:2" x14ac:dyDescent="0.45">
      <c r="A12" s="9" t="s">
        <v>154</v>
      </c>
      <c r="B12" s="10" t="s">
        <v>155</v>
      </c>
    </row>
    <row r="13" spans="1:2" x14ac:dyDescent="0.45">
      <c r="A13" s="9" t="s">
        <v>18</v>
      </c>
      <c r="B13" s="10" t="s">
        <v>156</v>
      </c>
    </row>
    <row r="15" spans="1:2" x14ac:dyDescent="0.45">
      <c r="A15" s="8" t="s">
        <v>157</v>
      </c>
    </row>
    <row r="16" spans="1:2" x14ac:dyDescent="0.45">
      <c r="A16" s="11" t="s">
        <v>158</v>
      </c>
      <c r="B16" s="11" t="s">
        <v>159</v>
      </c>
    </row>
    <row r="17" spans="1:2" x14ac:dyDescent="0.45">
      <c r="A17" s="12" t="s">
        <v>31</v>
      </c>
      <c r="B17" s="12" t="s">
        <v>160</v>
      </c>
    </row>
    <row r="18" spans="1:2" x14ac:dyDescent="0.45">
      <c r="A18" s="12" t="s">
        <v>161</v>
      </c>
      <c r="B18" s="12" t="s">
        <v>162</v>
      </c>
    </row>
    <row r="19" spans="1:2" x14ac:dyDescent="0.45">
      <c r="A19" s="12" t="s">
        <v>46</v>
      </c>
      <c r="B19" s="12" t="s">
        <v>163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BOM</vt:lpstr>
      <vt:lpstr>검토사항</vt:lpstr>
      <vt:lpstr>BOM!Print_Titles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 YUN</cp:lastModifiedBy>
  <dcterms:created xsi:type="dcterms:W3CDTF">2026-10-05T15:47:36Z</dcterms:created>
  <dcterms:modified xsi:type="dcterms:W3CDTF">2026-10-13T13:46:25Z</dcterms:modified>
</cp:coreProperties>
</file>