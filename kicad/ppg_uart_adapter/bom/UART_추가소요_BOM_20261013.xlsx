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모두의창업\2라운드\귀장착부\2차_260914\PPG_PCB_v0.8\kicad\ppg_uart_adapter\bom\"/>
    </mc:Choice>
  </mc:AlternateContent>
  <xr:revisionPtr revIDLastSave="0" documentId="13_ncr:1_{025AF436-143B-4E14-8E32-875F8C01D2F8}" xr6:coauthVersionLast="47" xr6:coauthVersionMax="47" xr10:uidLastSave="{00000000-0000-0000-0000-000000000000}"/>
  <bookViews>
    <workbookView xWindow="-110" yWindow="-110" windowWidth="25820" windowHeight="38620" xr2:uid="{00000000-000D-0000-FFFF-FFFF00000000}"/>
  </bookViews>
  <sheets>
    <sheet name="구매 BOM" sheetId="1" r:id="rId1"/>
    <sheet name="원본 부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I24" i="1" s="1"/>
  <c r="J10" i="1" l="1"/>
  <c r="J24" i="1" l="1"/>
  <c r="J4" i="1"/>
  <c r="G4" i="1"/>
</calcChain>
</file>

<file path=xl/sharedStrings.xml><?xml version="1.0" encoding="utf-8"?>
<sst xmlns="http://schemas.openxmlformats.org/spreadsheetml/2006/main" count="665" uniqueCount="204">
  <si>
    <t>UART 보드 추가 소요 BOM</t>
  </si>
  <si>
    <t>UART 제작 수량</t>
  </si>
  <si>
    <t>대 (수정 가능)</t>
  </si>
  <si>
    <t>공통품 추가 수량</t>
  </si>
  <si>
    <t>신규 품목 추가 수량</t>
  </si>
  <si>
    <t>기존 PPG 제작 수량에 추가되는 UART 보드 실소요량. 재고 차감 및 실장 여유분 미반영.</t>
  </si>
  <si>
    <t>공통품도 UART 제작에 필요한 추가분을 전량 포함합니다. MPN 미지정 품목은 발주 전에 제조사와 품번을 확정해야 합니다.</t>
  </si>
  <si>
    <t>크기: 미터 규격을 우선 표시하고, 해당되는 경우 인치 규격을 함께 표기했습니다.</t>
  </si>
  <si>
    <t>품목</t>
  </si>
  <si>
    <t>UART Ref</t>
  </si>
  <si>
    <t>기존 PPG 비교</t>
  </si>
  <si>
    <t>품명 / 값</t>
  </si>
  <si>
    <t>크기 / 패키지</t>
  </si>
  <si>
    <t>정격 / 공차 / 유전체</t>
  </si>
  <si>
    <t>제조사</t>
  </si>
  <si>
    <t>MPN</t>
  </si>
  <si>
    <t>1보드 추가 (개)</t>
  </si>
  <si>
    <t>제작 수량 추가 (개)</t>
  </si>
  <si>
    <t>기존 PPG Ref</t>
  </si>
  <si>
    <t>품번 상태</t>
  </si>
  <si>
    <t>C1</t>
  </si>
  <si>
    <t>UART 신규 품목</t>
  </si>
  <si>
    <t>MLCC
10 µF</t>
  </si>
  <si>
    <t>1608 (1.6 × 0.8 mm)
인치 0603</t>
  </si>
  <si>
    <t>정격 25 V
공차 미지정 / 유전체 미지정</t>
  </si>
  <si>
    <t>미지정</t>
  </si>
  <si>
    <t>—</t>
  </si>
  <si>
    <t>MPN 미지정</t>
  </si>
  <si>
    <t>C2, C6, C7, C8</t>
  </si>
  <si>
    <t>MLCC
22 µF</t>
  </si>
  <si>
    <t>정격 10 V
공차 20% / X5R</t>
  </si>
  <si>
    <t>TDK</t>
  </si>
  <si>
    <t>C1608X5R1A226M080AC</t>
  </si>
  <si>
    <t>품번 지정</t>
  </si>
  <si>
    <t>C3, C4, C5</t>
  </si>
  <si>
    <t>MLCC
100 nF</t>
  </si>
  <si>
    <t>D1, D2</t>
  </si>
  <si>
    <t>TVS
CDSOT23-SM712</t>
  </si>
  <si>
    <t>Bourns</t>
  </si>
  <si>
    <t>CDSOT23-SM712</t>
  </si>
  <si>
    <t>D3, D4</t>
  </si>
  <si>
    <t>기존 PPG 공통품</t>
  </si>
  <si>
    <t>TVS
ESD351DPYR</t>
  </si>
  <si>
    <t>DPY, 1.0 × 0.6 mm</t>
  </si>
  <si>
    <t>Texas Instruments</t>
  </si>
  <si>
    <t>ESD351DPYR</t>
  </si>
  <si>
    <t>D6, D7, D8</t>
  </si>
  <si>
    <t>FB1</t>
  </si>
  <si>
    <t>페라이트 비드
BLM15PX601SN1D</t>
  </si>
  <si>
    <t>1005 (1.0 × 0.5 mm)
인치 0402</t>
  </si>
  <si>
    <t>Murata</t>
  </si>
  <si>
    <t>BLM15PX601SN1D</t>
  </si>
  <si>
    <t>R1</t>
  </si>
  <si>
    <t>저항
120 Ω</t>
  </si>
  <si>
    <t>공차 1%
전력정격 미지정</t>
  </si>
  <si>
    <t>R2, R3, R4, R5</t>
  </si>
  <si>
    <t>저항
22 Ω</t>
  </si>
  <si>
    <t>공차 미지정
전력정격 미지정</t>
  </si>
  <si>
    <t>R6</t>
  </si>
  <si>
    <t>저항
10 kΩ</t>
  </si>
  <si>
    <t>R7, R8</t>
  </si>
  <si>
    <t>저항
100 Ω</t>
  </si>
  <si>
    <t>R9</t>
  </si>
  <si>
    <t>저항
1 Ω</t>
  </si>
  <si>
    <t>3216 (3.2 × 1.6 mm)
인치 1206</t>
  </si>
  <si>
    <t>U1</t>
  </si>
  <si>
    <t>IC
LD1117S33TR</t>
  </si>
  <si>
    <t>SOT-223, Tab = OUT</t>
  </si>
  <si>
    <t>STMicroelectronics</t>
  </si>
  <si>
    <t>LD1117S33TR</t>
  </si>
  <si>
    <t>U2</t>
  </si>
  <si>
    <t>IC
XR33194ESBTR</t>
  </si>
  <si>
    <t>TSOT-23-6</t>
  </si>
  <si>
    <t>MaxLinear</t>
  </si>
  <si>
    <t>XR33194ESBTR</t>
  </si>
  <si>
    <t>U3</t>
  </si>
  <si>
    <t>IC
XR33183ESBTR</t>
  </si>
  <si>
    <t>XR33183ESBTR</t>
  </si>
  <si>
    <t>U6</t>
  </si>
  <si>
    <t>추가 소요 합계</t>
  </si>
  <si>
    <t>품목별 용도 및 미지정 규격</t>
  </si>
  <si>
    <t>LDO 입력 벌크 MLCC. MPN·공차·유전체 미지정.</t>
  </si>
  <si>
    <t>LDO 출력 MLCC 병렬 뱅크.</t>
  </si>
  <si>
    <t>LDO 입력 및 RS422 IC 전원 바이패스. MPN·공차·유전체 미지정.</t>
  </si>
  <si>
    <t>RS422 케이블 ESD 보호.</t>
  </si>
  <si>
    <t>UART ESD 보호.</t>
  </si>
  <si>
    <t>LDO 입력 전원 필터.</t>
  </si>
  <si>
    <t>수신 종단 저항. MPN·전력정격 미지정.</t>
  </si>
  <si>
    <t>RS422 직렬 저항. MPN·공차·전력정격 미지정.</t>
  </si>
  <si>
    <t>풀 저항. MPN·공차·전력정격 미지정.</t>
  </si>
  <si>
    <t>UART 직렬 저항. MPN·공차·전력정격 미지정.</t>
  </si>
  <si>
    <t>출력 MLCC 분기 ESR 저항. MPN·공차·전력정격 미지정.</t>
  </si>
  <si>
    <t>9 V 입력, 3.3 V LDO.</t>
  </si>
  <si>
    <t>PPG RXP/RXN 구동.</t>
  </si>
  <si>
    <t>PPG TXP/TXN 수신.</t>
  </si>
  <si>
    <t>UART 원본 부품 및 구매 구분</t>
  </si>
  <si>
    <t>기준일: 2026-10-13 / 회로도: ppg_uart_adapter_v01.kicad_sch</t>
  </si>
  <si>
    <t>PCB: ppg_uart_adapter_v01.kicad_pcb / 기존 PPG 비교: MVP-PPG_BOM_20261006.xlsx (2026-10-06)</t>
  </si>
  <si>
    <t>구매 여부는 실장 부품을 기준으로 구분했습니다. 전선 패드 J1~J3와 비도금 홀 H1~H4는 구매 수량에서 제외합니다.</t>
  </si>
  <si>
    <t>기존 PPG BOM의 제작 대수는 UART 추가 수량에 사용하지 않습니다. 부품 품번·패키지의 공통 여부만 비교합니다.</t>
  </si>
  <si>
    <t>공란은 원본에 지정되지 않은 항목입니다. 회로도 및 PCB의 DNP·BOM 제외 설정은 각각 보존했습니다.</t>
  </si>
  <si>
    <t>품목 번호</t>
  </si>
  <si>
    <t>구매 대상</t>
  </si>
  <si>
    <t>구분</t>
  </si>
  <si>
    <t>부품 값</t>
  </si>
  <si>
    <t>MPN 원본</t>
  </si>
  <si>
    <t>제조사 원본</t>
  </si>
  <si>
    <t>풋프린트</t>
  </si>
  <si>
    <t>전압 원본</t>
  </si>
  <si>
    <t>공차 원본</t>
  </si>
  <si>
    <t>유전체 원본</t>
  </si>
  <si>
    <t>회로도 DNP</t>
  </si>
  <si>
    <t>회로도 BOM 제외</t>
  </si>
  <si>
    <t>SMD 속성</t>
  </si>
  <si>
    <t>면</t>
  </si>
  <si>
    <t>PCB DNP</t>
  </si>
  <si>
    <t>PCB BOM 제외</t>
  </si>
  <si>
    <t>PCB POS 제외</t>
  </si>
  <si>
    <t>데이터시트</t>
  </si>
  <si>
    <t>원본 설명</t>
  </si>
  <si>
    <t>예</t>
  </si>
  <si>
    <t>실장부품</t>
  </si>
  <si>
    <t>10 µF</t>
  </si>
  <si>
    <t>Capacitor_SMD:C_0603_1608Metric</t>
  </si>
  <si>
    <t>25 V</t>
  </si>
  <si>
    <t>아니오</t>
  </si>
  <si>
    <t>Bottom</t>
  </si>
  <si>
    <t>Input bulk MLCC,metric1608; exact MPN pending</t>
  </si>
  <si>
    <t>C2</t>
  </si>
  <si>
    <t>22 µF</t>
  </si>
  <si>
    <t>10 V</t>
  </si>
  <si>
    <t>20%</t>
  </si>
  <si>
    <t>X5R</t>
  </si>
  <si>
    <t>https://product.tdk.com/en/search/capacitor/ceramic/mlcc/info?part_no=C1608X5R1A226M080AC</t>
  </si>
  <si>
    <t>Metric1608 X5R MLCC; parallel bank behind R9; total effective capacitance at3.3V must remain &gt;=10uF including tolerance</t>
  </si>
  <si>
    <t>C3</t>
  </si>
  <si>
    <t>100 nF</t>
  </si>
  <si>
    <t>Place at LD1117 input; metric1608 MLCC</t>
  </si>
  <si>
    <t>C4</t>
  </si>
  <si>
    <t>U2 VCC local bypass; metric1608 MLCC</t>
  </si>
  <si>
    <t>C5</t>
  </si>
  <si>
    <t>U3 VCC local bypass; metric1608 MLCC</t>
  </si>
  <si>
    <t>C6</t>
  </si>
  <si>
    <t>C7</t>
  </si>
  <si>
    <t>C8</t>
  </si>
  <si>
    <t>D1</t>
  </si>
  <si>
    <t>Package_TO_SOT_SMD:SOT-23</t>
  </si>
  <si>
    <t>https://www.bourns.com/pdfs/CDSOT23-SM712.pdf</t>
  </si>
  <si>
    <t>Two-line RS422 TVS, pins1/2 signal,pin3GND; connector-side of series resistors</t>
  </si>
  <si>
    <t>D2</t>
  </si>
  <si>
    <t>Transmit pair cable-side protection; far-end termination exists on PPG</t>
  </si>
  <si>
    <t>D3</t>
  </si>
  <si>
    <t>Adapter:TI_DPY0002A_1x0.6</t>
  </si>
  <si>
    <t>https://www.ti.com/lit/ds/symlink/esd351.pdf</t>
  </si>
  <si>
    <t>UART connector ESD shunt; route pad to TVS landing before internal series resistor</t>
  </si>
  <si>
    <t>D4</t>
  </si>
  <si>
    <t>Inductor_SMD:L_0402_1005Metric</t>
  </si>
  <si>
    <t>https://www.murata.com/en-us/products/productdetail?partno=BLM15PX601SN1%23</t>
  </si>
  <si>
    <t>Local LDO input filter; PPG power branches before this bead</t>
  </si>
  <si>
    <t>H1</t>
  </si>
  <si>
    <t>NPTH 가공 홀, 구매 제외</t>
  </si>
  <si>
    <t>Ø3.0 mm NPTH</t>
  </si>
  <si>
    <t>Adapter:MountingHole_3mm_Clearance11mm</t>
  </si>
  <si>
    <t>기구 가공 항목: Ø3.0 mm 비도금 관통 고정홀(NPTH), 부품 실장 없음; 머리 조립 여유 Ø11 mm</t>
  </si>
  <si>
    <t>H2</t>
  </si>
  <si>
    <t>H3</t>
  </si>
  <si>
    <t>H4</t>
  </si>
  <si>
    <t>J1</t>
  </si>
  <si>
    <t>PCB 전선 납땜 패드, 구매 제외</t>
  </si>
  <si>
    <t>9V INPUT</t>
  </si>
  <si>
    <t>Adapter:WirePads_1x02_P1.8mm_D1.2</t>
  </si>
  <si>
    <t>Wire solder pads; connector mechanical implementation to be reviewed with PCB outline</t>
  </si>
  <si>
    <t>J2</t>
  </si>
  <si>
    <t>PPG / 6 WIRES</t>
  </si>
  <si>
    <t>Adapter:WirePads_1x06_P1.8mm_D1.2</t>
  </si>
  <si>
    <t>J3</t>
  </si>
  <si>
    <t>UART / 3.3V OUT</t>
  </si>
  <si>
    <t>Adapter:WirePads_1x04_P1.8mm_D1.2</t>
  </si>
  <si>
    <t>120 Ω</t>
  </si>
  <si>
    <t>Resistor_SMD:R_0603_1608Metric</t>
  </si>
  <si>
    <t>1%</t>
  </si>
  <si>
    <t>Receiving-end termination; match existing PPG120ohm architecture</t>
  </si>
  <si>
    <t>R2</t>
  </si>
  <si>
    <t>22 Ω</t>
  </si>
  <si>
    <t>R3</t>
  </si>
  <si>
    <t>R4</t>
  </si>
  <si>
    <t>R5</t>
  </si>
  <si>
    <t>10 kΩ</t>
  </si>
  <si>
    <t>R7</t>
  </si>
  <si>
    <t>100 Ω</t>
  </si>
  <si>
    <t>R8</t>
  </si>
  <si>
    <t>1 Ω</t>
  </si>
  <si>
    <t>Resistor_SMD:R_1206_3216Metric</t>
  </si>
  <si>
    <t>LD1117 ceramic output ESR resistor in capacitor branch only; not in load supply path</t>
  </si>
  <si>
    <t>Package_TO_SOT_SMD:SOT-223-3_TabPin2</t>
  </si>
  <si>
    <t>https://www.st.com/resource/en/datasheet/ld1117.pdf</t>
  </si>
  <si>
    <t>User-selected fixed 3.3V LDO; pins1 GND,2 OUT,3 IN; tab electrically OUT</t>
  </si>
  <si>
    <t>Adapter:TSOT23-6_MaxLinear</t>
  </si>
  <si>
    <t>https://www.maxlinear.com/ds/xr33193_xr33194_xr33195.pdf</t>
  </si>
  <si>
    <t>Always enabled full-duplex driver; outputs go to PPG RXP/RXN</t>
  </si>
  <si>
    <t>https://www.maxlinear.com/ds/xr33180_xr33181_xr33183_xr33184.pdf</t>
  </si>
  <si>
    <t>Receiver of PPG TX pair; active-low EN tied to GND</t>
  </si>
  <si>
    <t>SOT-23</t>
    <phoneticPr fontId="9" type="noConversion"/>
  </si>
  <si>
    <t>시간 걸릴경우 NC처리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</si>
</sst>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202B36"/>
      <name val="Arial"/>
      <family val="2"/>
    </font>
    <font>
      <b/>
      <sz val="14"/>
      <color rgb="FF244A68"/>
      <name val="Arial"/>
      <family val="2"/>
    </font>
    <font>
      <sz val="10"/>
      <color rgb="FF596978"/>
      <name val="Arial"/>
      <family val="2"/>
    </font>
    <font>
      <b/>
      <sz val="10"/>
      <color rgb="FFFFFFFF"/>
      <name val="Arial"/>
      <family val="2"/>
    </font>
    <font>
      <b/>
      <sz val="10"/>
      <color rgb="FF202B36"/>
      <name val="Arial"/>
      <family val="2"/>
    </font>
    <font>
      <b/>
      <sz val="10"/>
      <color rgb="FF244A68"/>
      <name val="Arial"/>
      <family val="2"/>
    </font>
    <font>
      <sz val="11"/>
      <name val="Carlito"/>
    </font>
    <font>
      <sz val="10"/>
      <color rgb="FFFF000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5F8"/>
      </patternFill>
    </fill>
    <fill>
      <patternFill patternType="solid">
        <fgColor rgb="FF244A68"/>
      </patternFill>
    </fill>
    <fill>
      <patternFill patternType="solid">
        <fgColor rgb="FFFFF0C4"/>
      </patternFill>
    </fill>
  </fills>
  <borders count="6">
    <border>
      <left/>
      <right/>
      <top/>
      <bottom/>
      <diagonal/>
    </border>
    <border>
      <left/>
      <right/>
      <top/>
      <bottom style="thin">
        <color rgb="FFACBDC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244A68"/>
      </top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5" fillId="4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3" fontId="1" fillId="2" borderId="0" xfId="1" applyNumberFormat="1" applyFont="1" applyFill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vertical="center"/>
    </xf>
    <xf numFmtId="3" fontId="6" fillId="0" borderId="5" xfId="1" applyNumberFormat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3" fontId="8" fillId="0" borderId="0" xfId="1" applyNumberFormat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vertical="center" wrapText="1"/>
    </xf>
    <xf numFmtId="3" fontId="10" fillId="2" borderId="0" xfId="1" applyNumberFormat="1" applyFont="1" applyFill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3" fontId="10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9B5200"/>
      </font>
    </dxf>
    <dxf>
      <fill>
        <patternFill patternType="solid">
          <bgColor rgb="FFFFF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UARTAdditionalBOM" displayName="UARTAdditionalBOM" ref="A9:L23" totalsRowShown="0">
  <tableColumns count="12">
    <tableColumn id="1" xr3:uid="{00000000-0010-0000-0000-000001000000}" name="품목"/>
    <tableColumn id="2" xr3:uid="{00000000-0010-0000-0000-000002000000}" name="UART Ref"/>
    <tableColumn id="3" xr3:uid="{00000000-0010-0000-0000-000003000000}" name="기존 PPG 비교"/>
    <tableColumn id="4" xr3:uid="{00000000-0010-0000-0000-000004000000}" name="품명 / 값"/>
    <tableColumn id="5" xr3:uid="{00000000-0010-0000-0000-000005000000}" name="크기 / 패키지"/>
    <tableColumn id="6" xr3:uid="{00000000-0010-0000-0000-000006000000}" name="정격 / 공차 / 유전체"/>
    <tableColumn id="7" xr3:uid="{00000000-0010-0000-0000-000007000000}" name="제조사"/>
    <tableColumn id="8" xr3:uid="{00000000-0010-0000-0000-000008000000}" name="MPN"/>
    <tableColumn id="9" xr3:uid="{00000000-0010-0000-0000-000009000000}" name="1보드 추가 (개)"/>
    <tableColumn id="10" xr3:uid="{00000000-0010-0000-0000-00000A000000}" name="제작 수량 추가 (개)"/>
    <tableColumn id="11" xr3:uid="{00000000-0010-0000-0000-00000B000000}" name="기존 PPG Ref"/>
    <tableColumn id="12" xr3:uid="{00000000-0010-0000-0000-00000C000000}" name="품번 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UARTSourceParts" displayName="UARTSourceParts" ref="A11:T43" totalsRowShown="0">
  <tableColumns count="20">
    <tableColumn id="1" xr3:uid="{00000000-0010-0000-0100-000001000000}" name="UART Ref"/>
    <tableColumn id="2" xr3:uid="{00000000-0010-0000-0100-000002000000}" name="품목 번호"/>
    <tableColumn id="3" xr3:uid="{00000000-0010-0000-0100-000003000000}" name="구매 대상"/>
    <tableColumn id="4" xr3:uid="{00000000-0010-0000-0100-000004000000}" name="구분"/>
    <tableColumn id="5" xr3:uid="{00000000-0010-0000-0100-000005000000}" name="부품 값"/>
    <tableColumn id="6" xr3:uid="{00000000-0010-0000-0100-000006000000}" name="MPN 원본"/>
    <tableColumn id="7" xr3:uid="{00000000-0010-0000-0100-000007000000}" name="제조사 원본"/>
    <tableColumn id="8" xr3:uid="{00000000-0010-0000-0100-000008000000}" name="풋프린트"/>
    <tableColumn id="9" xr3:uid="{00000000-0010-0000-0100-000009000000}" name="전압 원본"/>
    <tableColumn id="10" xr3:uid="{00000000-0010-0000-0100-00000A000000}" name="공차 원본"/>
    <tableColumn id="11" xr3:uid="{00000000-0010-0000-0100-00000B000000}" name="유전체 원본"/>
    <tableColumn id="12" xr3:uid="{00000000-0010-0000-0100-00000C000000}" name="회로도 DNP"/>
    <tableColumn id="13" xr3:uid="{00000000-0010-0000-0100-00000D000000}" name="회로도 BOM 제외"/>
    <tableColumn id="14" xr3:uid="{00000000-0010-0000-0100-00000E000000}" name="SMD 속성"/>
    <tableColumn id="15" xr3:uid="{00000000-0010-0000-0100-00000F000000}" name="면"/>
    <tableColumn id="16" xr3:uid="{00000000-0010-0000-0100-000010000000}" name="PCB DNP"/>
    <tableColumn id="17" xr3:uid="{00000000-0010-0000-0100-000011000000}" name="PCB BOM 제외"/>
    <tableColumn id="18" xr3:uid="{00000000-0010-0000-0100-000012000000}" name="PCB POS 제외"/>
    <tableColumn id="19" xr3:uid="{00000000-0010-0000-0100-000013000000}" name="데이터시트"/>
    <tableColumn id="20" xr3:uid="{00000000-0010-0000-0100-000014000000}" name="원본 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A68"/>
  </sheetPr>
  <dimension ref="A1:M43"/>
  <sheetViews>
    <sheetView showGridLines="0" tabSelected="1" zoomScale="70" zoomScaleNormal="70" workbookViewId="0">
      <pane xSplit="2" ySplit="9" topLeftCell="C10" activePane="bottomRight" state="frozen"/>
      <selection pane="topRight"/>
      <selection pane="bottomLeft"/>
      <selection pane="bottomRight" activeCell="D25" sqref="D25"/>
    </sheetView>
  </sheetViews>
  <sheetFormatPr defaultRowHeight="14"/>
  <cols>
    <col min="1" max="1" width="6" customWidth="1"/>
    <col min="2" max="3" width="17" customWidth="1"/>
    <col min="4" max="4" width="23" customWidth="1"/>
    <col min="5" max="5" width="24" customWidth="1"/>
    <col min="6" max="6" width="23" customWidth="1"/>
    <col min="7" max="7" width="22" customWidth="1"/>
    <col min="8" max="8" width="28" customWidth="1"/>
    <col min="9" max="9" width="11" customWidth="1"/>
    <col min="10" max="10" width="13" customWidth="1"/>
    <col min="11" max="12" width="15" customWidth="1"/>
  </cols>
  <sheetData>
    <row r="1" spans="1:13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8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23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23" customHeight="1">
      <c r="A4" s="1" t="s">
        <v>1</v>
      </c>
      <c r="B4" s="1"/>
      <c r="C4" s="13">
        <v>10</v>
      </c>
      <c r="D4" s="1" t="s">
        <v>2</v>
      </c>
      <c r="E4" s="1"/>
      <c r="F4" s="1" t="s">
        <v>3</v>
      </c>
      <c r="G4" s="10">
        <f>IF(COUNT(J10:J23)=14,SUMIFS(J10:J23,C10:C23,"기존 PPG 공통품"),"수량 확인")</f>
        <v>50</v>
      </c>
      <c r="H4" s="1" t="s">
        <v>4</v>
      </c>
      <c r="I4" s="1"/>
      <c r="J4" s="10">
        <f>IF(COUNT(J10:J23)=14,SUMIFS(J10:J23,C10:C23,"UART 신규 품목"),"수량 확인")</f>
        <v>200</v>
      </c>
      <c r="K4" s="1"/>
      <c r="L4" s="1"/>
    </row>
    <row r="5" spans="1:13" ht="23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3" ht="23" customHeight="1">
      <c r="A6" s="4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 ht="23" customHeight="1">
      <c r="A7" s="4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3" ht="34" customHeight="1">
      <c r="A9" s="6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8" t="s">
        <v>19</v>
      </c>
    </row>
    <row r="10" spans="1:13" ht="48" customHeight="1">
      <c r="A10" s="25">
        <v>1</v>
      </c>
      <c r="B10" s="26" t="s">
        <v>20</v>
      </c>
      <c r="C10" s="26" t="s">
        <v>21</v>
      </c>
      <c r="D10" s="27" t="s">
        <v>22</v>
      </c>
      <c r="E10" s="27" t="s">
        <v>23</v>
      </c>
      <c r="F10" s="27" t="s">
        <v>24</v>
      </c>
      <c r="G10" s="27" t="s">
        <v>25</v>
      </c>
      <c r="H10" s="27" t="s">
        <v>25</v>
      </c>
      <c r="I10" s="28">
        <f>COUNTIFS('원본 부품'!$B$12:$B$43,A10,'원본 부품'!$C$12:$C$43,"예")</f>
        <v>1</v>
      </c>
      <c r="J10" s="28">
        <f t="shared" ref="J10:J23" si="0">IF(AND(ISNUMBER($C$4),$C$4&gt;=0,MOD($C$4,1)=0),I10*$C$4,"수량 확인")</f>
        <v>10</v>
      </c>
      <c r="K10" s="26" t="s">
        <v>26</v>
      </c>
      <c r="L10" s="26" t="s">
        <v>27</v>
      </c>
    </row>
    <row r="11" spans="1:13" ht="48" customHeight="1">
      <c r="A11" s="29">
        <v>2</v>
      </c>
      <c r="B11" s="30" t="s">
        <v>28</v>
      </c>
      <c r="C11" s="30" t="s">
        <v>21</v>
      </c>
      <c r="D11" s="31" t="s">
        <v>29</v>
      </c>
      <c r="E11" s="31" t="s">
        <v>23</v>
      </c>
      <c r="F11" s="31" t="s">
        <v>30</v>
      </c>
      <c r="G11" s="31" t="s">
        <v>31</v>
      </c>
      <c r="H11" s="31" t="s">
        <v>32</v>
      </c>
      <c r="I11" s="32">
        <f>COUNTIFS('원본 부품'!$B$12:$B$43,A11,'원본 부품'!$C$12:$C$43,"예")</f>
        <v>4</v>
      </c>
      <c r="J11" s="32">
        <f t="shared" si="0"/>
        <v>40</v>
      </c>
      <c r="K11" s="30" t="s">
        <v>26</v>
      </c>
      <c r="L11" s="30" t="s">
        <v>33</v>
      </c>
    </row>
    <row r="12" spans="1:13" ht="48" customHeight="1">
      <c r="A12" s="9">
        <v>3</v>
      </c>
      <c r="B12" s="11" t="s">
        <v>34</v>
      </c>
      <c r="C12" s="11" t="s">
        <v>21</v>
      </c>
      <c r="D12" s="14" t="s">
        <v>35</v>
      </c>
      <c r="E12" s="14" t="s">
        <v>23</v>
      </c>
      <c r="F12" s="14" t="s">
        <v>24</v>
      </c>
      <c r="G12" s="14" t="s">
        <v>25</v>
      </c>
      <c r="H12" s="14" t="s">
        <v>25</v>
      </c>
      <c r="I12" s="16">
        <f>COUNTIFS('원본 부품'!$B$12:$B$43,A12,'원본 부품'!$C$12:$C$43,"예")</f>
        <v>3</v>
      </c>
      <c r="J12" s="16">
        <f t="shared" si="0"/>
        <v>30</v>
      </c>
      <c r="K12" s="11" t="s">
        <v>26</v>
      </c>
      <c r="L12" s="11" t="s">
        <v>27</v>
      </c>
    </row>
    <row r="13" spans="1:13" ht="48" customHeight="1">
      <c r="A13" s="21">
        <v>4</v>
      </c>
      <c r="B13" s="22" t="s">
        <v>36</v>
      </c>
      <c r="C13" s="22" t="s">
        <v>21</v>
      </c>
      <c r="D13" s="23" t="s">
        <v>37</v>
      </c>
      <c r="E13" s="23" t="s">
        <v>202</v>
      </c>
      <c r="F13" s="23" t="s">
        <v>26</v>
      </c>
      <c r="G13" s="23" t="s">
        <v>38</v>
      </c>
      <c r="H13" s="23" t="s">
        <v>39</v>
      </c>
      <c r="I13" s="24">
        <f>COUNTIFS('원본 부품'!$B$12:$B$43,A13,'원본 부품'!$C$12:$C$43,"예")</f>
        <v>2</v>
      </c>
      <c r="J13" s="24">
        <f t="shared" si="0"/>
        <v>20</v>
      </c>
      <c r="K13" s="22" t="s">
        <v>26</v>
      </c>
      <c r="L13" s="22" t="s">
        <v>33</v>
      </c>
      <c r="M13" t="s">
        <v>203</v>
      </c>
    </row>
    <row r="14" spans="1:13" ht="48" customHeight="1">
      <c r="A14" s="9">
        <v>5</v>
      </c>
      <c r="B14" s="11" t="s">
        <v>40</v>
      </c>
      <c r="C14" s="11" t="s">
        <v>41</v>
      </c>
      <c r="D14" s="14" t="s">
        <v>42</v>
      </c>
      <c r="E14" s="14" t="s">
        <v>43</v>
      </c>
      <c r="F14" s="14" t="s">
        <v>26</v>
      </c>
      <c r="G14" s="14" t="s">
        <v>44</v>
      </c>
      <c r="H14" s="14" t="s">
        <v>45</v>
      </c>
      <c r="I14" s="16">
        <f>COUNTIFS('원본 부품'!$B$12:$B$43,A14,'원본 부품'!$C$12:$C$43,"예")</f>
        <v>2</v>
      </c>
      <c r="J14" s="16">
        <f t="shared" si="0"/>
        <v>20</v>
      </c>
      <c r="K14" s="11" t="s">
        <v>46</v>
      </c>
      <c r="L14" s="11" t="s">
        <v>33</v>
      </c>
    </row>
    <row r="15" spans="1:13" ht="48" customHeight="1">
      <c r="A15" s="10">
        <v>6</v>
      </c>
      <c r="B15" s="12" t="s">
        <v>47</v>
      </c>
      <c r="C15" s="12" t="s">
        <v>41</v>
      </c>
      <c r="D15" s="15" t="s">
        <v>48</v>
      </c>
      <c r="E15" s="15" t="s">
        <v>49</v>
      </c>
      <c r="F15" s="15" t="s">
        <v>26</v>
      </c>
      <c r="G15" s="15" t="s">
        <v>50</v>
      </c>
      <c r="H15" s="15" t="s">
        <v>51</v>
      </c>
      <c r="I15" s="17">
        <f>COUNTIFS('원본 부품'!$B$12:$B$43,A15,'원본 부품'!$C$12:$C$43,"예")</f>
        <v>1</v>
      </c>
      <c r="J15" s="17">
        <f t="shared" si="0"/>
        <v>10</v>
      </c>
      <c r="K15" s="12" t="s">
        <v>47</v>
      </c>
      <c r="L15" s="12" t="s">
        <v>33</v>
      </c>
    </row>
    <row r="16" spans="1:13" ht="48" customHeight="1">
      <c r="A16" s="9">
        <v>7</v>
      </c>
      <c r="B16" s="11" t="s">
        <v>52</v>
      </c>
      <c r="C16" s="11" t="s">
        <v>21</v>
      </c>
      <c r="D16" s="14" t="s">
        <v>53</v>
      </c>
      <c r="E16" s="14" t="s">
        <v>23</v>
      </c>
      <c r="F16" s="14" t="s">
        <v>54</v>
      </c>
      <c r="G16" s="14" t="s">
        <v>25</v>
      </c>
      <c r="H16" s="14" t="s">
        <v>25</v>
      </c>
      <c r="I16" s="16">
        <f>COUNTIFS('원본 부품'!$B$12:$B$43,A16,'원본 부품'!$C$12:$C$43,"예")</f>
        <v>1</v>
      </c>
      <c r="J16" s="16">
        <f t="shared" si="0"/>
        <v>10</v>
      </c>
      <c r="K16" s="11" t="s">
        <v>26</v>
      </c>
      <c r="L16" s="11" t="s">
        <v>27</v>
      </c>
    </row>
    <row r="17" spans="1:12" ht="48" customHeight="1">
      <c r="A17" s="10">
        <v>8</v>
      </c>
      <c r="B17" s="12" t="s">
        <v>55</v>
      </c>
      <c r="C17" s="12" t="s">
        <v>21</v>
      </c>
      <c r="D17" s="15" t="s">
        <v>56</v>
      </c>
      <c r="E17" s="15" t="s">
        <v>23</v>
      </c>
      <c r="F17" s="15" t="s">
        <v>57</v>
      </c>
      <c r="G17" s="15" t="s">
        <v>25</v>
      </c>
      <c r="H17" s="15" t="s">
        <v>25</v>
      </c>
      <c r="I17" s="17">
        <f>COUNTIFS('원본 부품'!$B$12:$B$43,A17,'원본 부품'!$C$12:$C$43,"예")</f>
        <v>4</v>
      </c>
      <c r="J17" s="17">
        <f t="shared" si="0"/>
        <v>40</v>
      </c>
      <c r="K17" s="12" t="s">
        <v>26</v>
      </c>
      <c r="L17" s="12" t="s">
        <v>27</v>
      </c>
    </row>
    <row r="18" spans="1:12" ht="48" customHeight="1">
      <c r="A18" s="9">
        <v>9</v>
      </c>
      <c r="B18" s="11" t="s">
        <v>58</v>
      </c>
      <c r="C18" s="11" t="s">
        <v>21</v>
      </c>
      <c r="D18" s="14" t="s">
        <v>59</v>
      </c>
      <c r="E18" s="14" t="s">
        <v>23</v>
      </c>
      <c r="F18" s="14" t="s">
        <v>57</v>
      </c>
      <c r="G18" s="14" t="s">
        <v>25</v>
      </c>
      <c r="H18" s="14" t="s">
        <v>25</v>
      </c>
      <c r="I18" s="16">
        <f>COUNTIFS('원본 부품'!$B$12:$B$43,A18,'원본 부품'!$C$12:$C$43,"예")</f>
        <v>1</v>
      </c>
      <c r="J18" s="16">
        <f t="shared" si="0"/>
        <v>10</v>
      </c>
      <c r="K18" s="11" t="s">
        <v>26</v>
      </c>
      <c r="L18" s="11" t="s">
        <v>27</v>
      </c>
    </row>
    <row r="19" spans="1:12" ht="48" customHeight="1">
      <c r="A19" s="10">
        <v>10</v>
      </c>
      <c r="B19" s="12" t="s">
        <v>60</v>
      </c>
      <c r="C19" s="12" t="s">
        <v>21</v>
      </c>
      <c r="D19" s="15" t="s">
        <v>61</v>
      </c>
      <c r="E19" s="15" t="s">
        <v>23</v>
      </c>
      <c r="F19" s="15" t="s">
        <v>57</v>
      </c>
      <c r="G19" s="15" t="s">
        <v>25</v>
      </c>
      <c r="H19" s="15" t="s">
        <v>25</v>
      </c>
      <c r="I19" s="17">
        <f>COUNTIFS('원본 부품'!$B$12:$B$43,A19,'원본 부품'!$C$12:$C$43,"예")</f>
        <v>2</v>
      </c>
      <c r="J19" s="17">
        <f t="shared" si="0"/>
        <v>20</v>
      </c>
      <c r="K19" s="12" t="s">
        <v>26</v>
      </c>
      <c r="L19" s="12" t="s">
        <v>27</v>
      </c>
    </row>
    <row r="20" spans="1:12" ht="48" customHeight="1">
      <c r="A20" s="9">
        <v>11</v>
      </c>
      <c r="B20" s="11" t="s">
        <v>62</v>
      </c>
      <c r="C20" s="11" t="s">
        <v>21</v>
      </c>
      <c r="D20" s="14" t="s">
        <v>63</v>
      </c>
      <c r="E20" s="14" t="s">
        <v>64</v>
      </c>
      <c r="F20" s="14" t="s">
        <v>57</v>
      </c>
      <c r="G20" s="14" t="s">
        <v>25</v>
      </c>
      <c r="H20" s="14" t="s">
        <v>25</v>
      </c>
      <c r="I20" s="16">
        <f>COUNTIFS('원본 부품'!$B$12:$B$43,A20,'원본 부품'!$C$12:$C$43,"예")</f>
        <v>1</v>
      </c>
      <c r="J20" s="16">
        <f t="shared" si="0"/>
        <v>10</v>
      </c>
      <c r="K20" s="11" t="s">
        <v>26</v>
      </c>
      <c r="L20" s="11" t="s">
        <v>27</v>
      </c>
    </row>
    <row r="21" spans="1:12" ht="48" customHeight="1">
      <c r="A21" s="10">
        <v>12</v>
      </c>
      <c r="B21" s="12" t="s">
        <v>65</v>
      </c>
      <c r="C21" s="12" t="s">
        <v>21</v>
      </c>
      <c r="D21" s="15" t="s">
        <v>66</v>
      </c>
      <c r="E21" s="15" t="s">
        <v>67</v>
      </c>
      <c r="F21" s="15" t="s">
        <v>26</v>
      </c>
      <c r="G21" s="15" t="s">
        <v>68</v>
      </c>
      <c r="H21" s="15" t="s">
        <v>69</v>
      </c>
      <c r="I21" s="17">
        <f>COUNTIFS('원본 부품'!$B$12:$B$43,A21,'원본 부품'!$C$12:$C$43,"예")</f>
        <v>1</v>
      </c>
      <c r="J21" s="17">
        <f t="shared" si="0"/>
        <v>10</v>
      </c>
      <c r="K21" s="12" t="s">
        <v>26</v>
      </c>
      <c r="L21" s="12" t="s">
        <v>33</v>
      </c>
    </row>
    <row r="22" spans="1:12" ht="48" customHeight="1">
      <c r="A22" s="9">
        <v>13</v>
      </c>
      <c r="B22" s="11" t="s">
        <v>70</v>
      </c>
      <c r="C22" s="11" t="s">
        <v>41</v>
      </c>
      <c r="D22" s="14" t="s">
        <v>71</v>
      </c>
      <c r="E22" s="14" t="s">
        <v>72</v>
      </c>
      <c r="F22" s="14" t="s">
        <v>26</v>
      </c>
      <c r="G22" s="14" t="s">
        <v>73</v>
      </c>
      <c r="H22" s="14" t="s">
        <v>74</v>
      </c>
      <c r="I22" s="16">
        <f>COUNTIFS('원본 부품'!$B$12:$B$43,A22,'원본 부품'!$C$12:$C$43,"예")</f>
        <v>1</v>
      </c>
      <c r="J22" s="16">
        <f t="shared" si="0"/>
        <v>10</v>
      </c>
      <c r="K22" s="11" t="s">
        <v>75</v>
      </c>
      <c r="L22" s="11" t="s">
        <v>33</v>
      </c>
    </row>
    <row r="23" spans="1:12" ht="48" customHeight="1">
      <c r="A23" s="10">
        <v>14</v>
      </c>
      <c r="B23" s="12" t="s">
        <v>75</v>
      </c>
      <c r="C23" s="12" t="s">
        <v>41</v>
      </c>
      <c r="D23" s="15" t="s">
        <v>76</v>
      </c>
      <c r="E23" s="15" t="s">
        <v>72</v>
      </c>
      <c r="F23" s="15" t="s">
        <v>26</v>
      </c>
      <c r="G23" s="15" t="s">
        <v>73</v>
      </c>
      <c r="H23" s="15" t="s">
        <v>77</v>
      </c>
      <c r="I23" s="17">
        <f>COUNTIFS('원본 부품'!$B$12:$B$43,A23,'원본 부품'!$C$12:$C$43,"예")</f>
        <v>1</v>
      </c>
      <c r="J23" s="17">
        <f t="shared" si="0"/>
        <v>10</v>
      </c>
      <c r="K23" s="12" t="s">
        <v>78</v>
      </c>
      <c r="L23" s="12" t="s">
        <v>33</v>
      </c>
    </row>
    <row r="24" spans="1:12" ht="28" customHeight="1">
      <c r="A24" s="1"/>
      <c r="B24" s="1"/>
      <c r="C24" s="1"/>
      <c r="D24" s="1"/>
      <c r="E24" s="1"/>
      <c r="F24" s="1"/>
      <c r="G24" s="1"/>
      <c r="H24" s="19" t="s">
        <v>79</v>
      </c>
      <c r="I24" s="20">
        <f>SUM(I10:I23)</f>
        <v>25</v>
      </c>
      <c r="J24" s="20">
        <f>IF(COUNT(J10:J23)=14,SUM(J10:J23),"수량 확인")</f>
        <v>250</v>
      </c>
      <c r="K24" s="19"/>
      <c r="L24" s="19"/>
    </row>
    <row r="25" spans="1:12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" customHeight="1">
      <c r="A27" s="18" t="s">
        <v>80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" customHeight="1">
      <c r="A28" s="10">
        <v>1</v>
      </c>
      <c r="B28" s="1" t="s">
        <v>20</v>
      </c>
      <c r="C28" s="4" t="s">
        <v>81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23" customHeight="1">
      <c r="A29" s="10">
        <v>2</v>
      </c>
      <c r="B29" s="1" t="s">
        <v>28</v>
      </c>
      <c r="C29" s="4" t="s">
        <v>82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23" customHeight="1">
      <c r="A30" s="10">
        <v>3</v>
      </c>
      <c r="B30" s="1" t="s">
        <v>34</v>
      </c>
      <c r="C30" s="4" t="s">
        <v>83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23" customHeight="1">
      <c r="A31" s="10">
        <v>4</v>
      </c>
      <c r="B31" s="1" t="s">
        <v>36</v>
      </c>
      <c r="C31" s="4" t="s">
        <v>84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23" customHeight="1">
      <c r="A32" s="10">
        <v>5</v>
      </c>
      <c r="B32" s="1" t="s">
        <v>40</v>
      </c>
      <c r="C32" s="4" t="s">
        <v>85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23" customHeight="1">
      <c r="A33" s="10">
        <v>6</v>
      </c>
      <c r="B33" s="1" t="s">
        <v>47</v>
      </c>
      <c r="C33" s="4" t="s">
        <v>86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23" customHeight="1">
      <c r="A34" s="10">
        <v>7</v>
      </c>
      <c r="B34" s="1" t="s">
        <v>52</v>
      </c>
      <c r="C34" s="4" t="s">
        <v>87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ht="23" customHeight="1">
      <c r="A35" s="10">
        <v>8</v>
      </c>
      <c r="B35" s="1" t="s">
        <v>55</v>
      </c>
      <c r="C35" s="4" t="s">
        <v>88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ht="23" customHeight="1">
      <c r="A36" s="10">
        <v>9</v>
      </c>
      <c r="B36" s="1" t="s">
        <v>58</v>
      </c>
      <c r="C36" s="4" t="s">
        <v>89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23" customHeight="1">
      <c r="A37" s="10">
        <v>10</v>
      </c>
      <c r="B37" s="1" t="s">
        <v>60</v>
      </c>
      <c r="C37" s="4" t="s">
        <v>90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23" customHeight="1">
      <c r="A38" s="10">
        <v>11</v>
      </c>
      <c r="B38" s="1" t="s">
        <v>62</v>
      </c>
      <c r="C38" s="4" t="s">
        <v>91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23" customHeight="1">
      <c r="A39" s="10">
        <v>12</v>
      </c>
      <c r="B39" s="1" t="s">
        <v>65</v>
      </c>
      <c r="C39" s="4" t="s">
        <v>92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23" customHeight="1">
      <c r="A40" s="10">
        <v>13</v>
      </c>
      <c r="B40" s="1" t="s">
        <v>70</v>
      </c>
      <c r="C40" s="4" t="s">
        <v>93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ht="23" customHeight="1">
      <c r="A41" s="10">
        <v>14</v>
      </c>
      <c r="B41" s="1" t="s">
        <v>75</v>
      </c>
      <c r="C41" s="4" t="s">
        <v>94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phoneticPr fontId="9" type="noConversion"/>
  <conditionalFormatting sqref="A10:L23">
    <cfRule type="expression" dxfId="1" priority="1">
      <formula>$H10="미지정"</formula>
    </cfRule>
  </conditionalFormatting>
  <conditionalFormatting sqref="H10:H23">
    <cfRule type="expression" dxfId="0" priority="2">
      <formula>$H10="미지정"</formula>
    </cfRule>
  </conditionalFormatting>
  <dataValidations count="1">
    <dataValidation type="whole" sqref="C4" xr:uid="{00000000-0002-0000-0000-000000000000}">
      <formula1>0</formula1>
      <formula2>100000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B12" sqref="B12"/>
    </sheetView>
  </sheetViews>
  <sheetFormatPr defaultRowHeight="14"/>
  <cols>
    <col min="1" max="2" width="11" customWidth="1"/>
    <col min="3" max="3" width="13" customWidth="1"/>
    <col min="4" max="4" width="23" customWidth="1"/>
    <col min="5" max="5" width="22" customWidth="1"/>
    <col min="6" max="6" width="27" customWidth="1"/>
    <col min="7" max="7" width="22" customWidth="1"/>
    <col min="8" max="8" width="55" customWidth="1"/>
    <col min="9" max="10" width="14" customWidth="1"/>
    <col min="11" max="11" width="15" customWidth="1"/>
    <col min="12" max="12" width="14" customWidth="1"/>
    <col min="13" max="13" width="18" customWidth="1"/>
    <col min="14" max="15" width="12" customWidth="1"/>
    <col min="16" max="16" width="13" customWidth="1"/>
    <col min="17" max="18" width="17" customWidth="1"/>
    <col min="19" max="19" width="80" customWidth="1"/>
    <col min="20" max="20" width="115" customWidth="1"/>
  </cols>
  <sheetData>
    <row r="1" spans="1:20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8" customHeight="1">
      <c r="A2" s="2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3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23" customHeight="1">
      <c r="A4" s="4" t="s">
        <v>96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3" customHeight="1">
      <c r="A5" s="4" t="s">
        <v>97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3" customHeight="1">
      <c r="A6" s="4" t="s">
        <v>98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3" customHeight="1">
      <c r="A7" s="4" t="s">
        <v>99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3" customHeight="1">
      <c r="A8" s="4" t="s">
        <v>100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34" customHeight="1">
      <c r="A11" s="6" t="s">
        <v>9</v>
      </c>
      <c r="B11" s="7" t="s">
        <v>101</v>
      </c>
      <c r="C11" s="7" t="s">
        <v>102</v>
      </c>
      <c r="D11" s="7" t="s">
        <v>103</v>
      </c>
      <c r="E11" s="7" t="s">
        <v>104</v>
      </c>
      <c r="F11" s="7" t="s">
        <v>105</v>
      </c>
      <c r="G11" s="7" t="s">
        <v>106</v>
      </c>
      <c r="H11" s="7" t="s">
        <v>107</v>
      </c>
      <c r="I11" s="7" t="s">
        <v>108</v>
      </c>
      <c r="J11" s="7" t="s">
        <v>109</v>
      </c>
      <c r="K11" s="7" t="s">
        <v>110</v>
      </c>
      <c r="L11" s="7" t="s">
        <v>111</v>
      </c>
      <c r="M11" s="7" t="s">
        <v>112</v>
      </c>
      <c r="N11" s="7" t="s">
        <v>113</v>
      </c>
      <c r="O11" s="7" t="s">
        <v>114</v>
      </c>
      <c r="P11" s="7" t="s">
        <v>115</v>
      </c>
      <c r="Q11" s="7" t="s">
        <v>116</v>
      </c>
      <c r="R11" s="7" t="s">
        <v>117</v>
      </c>
      <c r="S11" s="7" t="s">
        <v>118</v>
      </c>
      <c r="T11" s="8" t="s">
        <v>119</v>
      </c>
    </row>
    <row r="12" spans="1:20" ht="23" customHeight="1">
      <c r="A12" s="5" t="s">
        <v>20</v>
      </c>
      <c r="B12" s="9">
        <v>1</v>
      </c>
      <c r="C12" s="9" t="s">
        <v>120</v>
      </c>
      <c r="D12" s="11" t="s">
        <v>121</v>
      </c>
      <c r="E12" s="5" t="s">
        <v>122</v>
      </c>
      <c r="F12" s="5"/>
      <c r="G12" s="5"/>
      <c r="H12" s="5" t="s">
        <v>123</v>
      </c>
      <c r="I12" s="5" t="s">
        <v>124</v>
      </c>
      <c r="J12" s="5"/>
      <c r="K12" s="5"/>
      <c r="L12" s="9" t="s">
        <v>125</v>
      </c>
      <c r="M12" s="9" t="s">
        <v>125</v>
      </c>
      <c r="N12" s="9" t="s">
        <v>120</v>
      </c>
      <c r="O12" s="9" t="s">
        <v>126</v>
      </c>
      <c r="P12" s="9" t="s">
        <v>125</v>
      </c>
      <c r="Q12" s="9" t="s">
        <v>125</v>
      </c>
      <c r="R12" s="9" t="s">
        <v>125</v>
      </c>
      <c r="S12" s="5"/>
      <c r="T12" s="5" t="s">
        <v>127</v>
      </c>
    </row>
    <row r="13" spans="1:20" ht="23" customHeight="1">
      <c r="A13" s="1" t="s">
        <v>128</v>
      </c>
      <c r="B13" s="10">
        <v>2</v>
      </c>
      <c r="C13" s="10" t="s">
        <v>120</v>
      </c>
      <c r="D13" s="12" t="s">
        <v>121</v>
      </c>
      <c r="E13" s="1" t="s">
        <v>129</v>
      </c>
      <c r="F13" s="1" t="s">
        <v>32</v>
      </c>
      <c r="G13" s="1" t="s">
        <v>31</v>
      </c>
      <c r="H13" s="1" t="s">
        <v>123</v>
      </c>
      <c r="I13" s="1" t="s">
        <v>130</v>
      </c>
      <c r="J13" s="1" t="s">
        <v>131</v>
      </c>
      <c r="K13" s="1" t="s">
        <v>132</v>
      </c>
      <c r="L13" s="10" t="s">
        <v>125</v>
      </c>
      <c r="M13" s="10" t="s">
        <v>125</v>
      </c>
      <c r="N13" s="10" t="s">
        <v>120</v>
      </c>
      <c r="O13" s="10" t="s">
        <v>126</v>
      </c>
      <c r="P13" s="10" t="s">
        <v>125</v>
      </c>
      <c r="Q13" s="10" t="s">
        <v>125</v>
      </c>
      <c r="R13" s="10" t="s">
        <v>125</v>
      </c>
      <c r="S13" s="1" t="s">
        <v>133</v>
      </c>
      <c r="T13" s="1" t="s">
        <v>134</v>
      </c>
    </row>
    <row r="14" spans="1:20" ht="23" customHeight="1">
      <c r="A14" s="5" t="s">
        <v>135</v>
      </c>
      <c r="B14" s="9">
        <v>3</v>
      </c>
      <c r="C14" s="9" t="s">
        <v>120</v>
      </c>
      <c r="D14" s="11" t="s">
        <v>121</v>
      </c>
      <c r="E14" s="5" t="s">
        <v>136</v>
      </c>
      <c r="F14" s="5"/>
      <c r="G14" s="5"/>
      <c r="H14" s="5" t="s">
        <v>123</v>
      </c>
      <c r="I14" s="5" t="s">
        <v>124</v>
      </c>
      <c r="J14" s="5"/>
      <c r="K14" s="5"/>
      <c r="L14" s="9" t="s">
        <v>125</v>
      </c>
      <c r="M14" s="9" t="s">
        <v>125</v>
      </c>
      <c r="N14" s="9" t="s">
        <v>120</v>
      </c>
      <c r="O14" s="9" t="s">
        <v>126</v>
      </c>
      <c r="P14" s="9" t="s">
        <v>125</v>
      </c>
      <c r="Q14" s="9" t="s">
        <v>125</v>
      </c>
      <c r="R14" s="9" t="s">
        <v>125</v>
      </c>
      <c r="S14" s="5"/>
      <c r="T14" s="5" t="s">
        <v>137</v>
      </c>
    </row>
    <row r="15" spans="1:20" ht="23" customHeight="1">
      <c r="A15" s="1" t="s">
        <v>138</v>
      </c>
      <c r="B15" s="10">
        <v>3</v>
      </c>
      <c r="C15" s="10" t="s">
        <v>120</v>
      </c>
      <c r="D15" s="12" t="s">
        <v>121</v>
      </c>
      <c r="E15" s="1" t="s">
        <v>136</v>
      </c>
      <c r="F15" s="1"/>
      <c r="G15" s="1"/>
      <c r="H15" s="1" t="s">
        <v>123</v>
      </c>
      <c r="I15" s="1" t="s">
        <v>124</v>
      </c>
      <c r="J15" s="1"/>
      <c r="K15" s="1"/>
      <c r="L15" s="10" t="s">
        <v>125</v>
      </c>
      <c r="M15" s="10" t="s">
        <v>125</v>
      </c>
      <c r="N15" s="10" t="s">
        <v>120</v>
      </c>
      <c r="O15" s="10" t="s">
        <v>126</v>
      </c>
      <c r="P15" s="10" t="s">
        <v>125</v>
      </c>
      <c r="Q15" s="10" t="s">
        <v>125</v>
      </c>
      <c r="R15" s="10" t="s">
        <v>125</v>
      </c>
      <c r="S15" s="1"/>
      <c r="T15" s="1" t="s">
        <v>139</v>
      </c>
    </row>
    <row r="16" spans="1:20" ht="23" customHeight="1">
      <c r="A16" s="5" t="s">
        <v>140</v>
      </c>
      <c r="B16" s="9">
        <v>3</v>
      </c>
      <c r="C16" s="9" t="s">
        <v>120</v>
      </c>
      <c r="D16" s="11" t="s">
        <v>121</v>
      </c>
      <c r="E16" s="5" t="s">
        <v>136</v>
      </c>
      <c r="F16" s="5"/>
      <c r="G16" s="5"/>
      <c r="H16" s="5" t="s">
        <v>123</v>
      </c>
      <c r="I16" s="5" t="s">
        <v>124</v>
      </c>
      <c r="J16" s="5"/>
      <c r="K16" s="5"/>
      <c r="L16" s="9" t="s">
        <v>125</v>
      </c>
      <c r="M16" s="9" t="s">
        <v>125</v>
      </c>
      <c r="N16" s="9" t="s">
        <v>120</v>
      </c>
      <c r="O16" s="9" t="s">
        <v>126</v>
      </c>
      <c r="P16" s="9" t="s">
        <v>125</v>
      </c>
      <c r="Q16" s="9" t="s">
        <v>125</v>
      </c>
      <c r="R16" s="9" t="s">
        <v>125</v>
      </c>
      <c r="S16" s="5"/>
      <c r="T16" s="5" t="s">
        <v>141</v>
      </c>
    </row>
    <row r="17" spans="1:20" ht="23" customHeight="1">
      <c r="A17" s="1" t="s">
        <v>142</v>
      </c>
      <c r="B17" s="10">
        <v>2</v>
      </c>
      <c r="C17" s="10" t="s">
        <v>120</v>
      </c>
      <c r="D17" s="12" t="s">
        <v>121</v>
      </c>
      <c r="E17" s="1" t="s">
        <v>129</v>
      </c>
      <c r="F17" s="1" t="s">
        <v>32</v>
      </c>
      <c r="G17" s="1" t="s">
        <v>31</v>
      </c>
      <c r="H17" s="1" t="s">
        <v>123</v>
      </c>
      <c r="I17" s="1" t="s">
        <v>130</v>
      </c>
      <c r="J17" s="1" t="s">
        <v>131</v>
      </c>
      <c r="K17" s="1" t="s">
        <v>132</v>
      </c>
      <c r="L17" s="10" t="s">
        <v>125</v>
      </c>
      <c r="M17" s="10" t="s">
        <v>125</v>
      </c>
      <c r="N17" s="10" t="s">
        <v>120</v>
      </c>
      <c r="O17" s="10" t="s">
        <v>126</v>
      </c>
      <c r="P17" s="10" t="s">
        <v>125</v>
      </c>
      <c r="Q17" s="10" t="s">
        <v>125</v>
      </c>
      <c r="R17" s="10" t="s">
        <v>125</v>
      </c>
      <c r="S17" s="1" t="s">
        <v>133</v>
      </c>
      <c r="T17" s="1" t="s">
        <v>134</v>
      </c>
    </row>
    <row r="18" spans="1:20" ht="23" customHeight="1">
      <c r="A18" s="5" t="s">
        <v>143</v>
      </c>
      <c r="B18" s="9">
        <v>2</v>
      </c>
      <c r="C18" s="9" t="s">
        <v>120</v>
      </c>
      <c r="D18" s="11" t="s">
        <v>121</v>
      </c>
      <c r="E18" s="5" t="s">
        <v>129</v>
      </c>
      <c r="F18" s="5" t="s">
        <v>32</v>
      </c>
      <c r="G18" s="5" t="s">
        <v>31</v>
      </c>
      <c r="H18" s="5" t="s">
        <v>123</v>
      </c>
      <c r="I18" s="5" t="s">
        <v>130</v>
      </c>
      <c r="J18" s="5" t="s">
        <v>131</v>
      </c>
      <c r="K18" s="5" t="s">
        <v>132</v>
      </c>
      <c r="L18" s="9" t="s">
        <v>125</v>
      </c>
      <c r="M18" s="9" t="s">
        <v>125</v>
      </c>
      <c r="N18" s="9" t="s">
        <v>120</v>
      </c>
      <c r="O18" s="9" t="s">
        <v>126</v>
      </c>
      <c r="P18" s="9" t="s">
        <v>125</v>
      </c>
      <c r="Q18" s="9" t="s">
        <v>125</v>
      </c>
      <c r="R18" s="9" t="s">
        <v>125</v>
      </c>
      <c r="S18" s="5" t="s">
        <v>133</v>
      </c>
      <c r="T18" s="5" t="s">
        <v>134</v>
      </c>
    </row>
    <row r="19" spans="1:20" ht="23" customHeight="1">
      <c r="A19" s="1" t="s">
        <v>144</v>
      </c>
      <c r="B19" s="10">
        <v>2</v>
      </c>
      <c r="C19" s="10" t="s">
        <v>120</v>
      </c>
      <c r="D19" s="12" t="s">
        <v>121</v>
      </c>
      <c r="E19" s="1" t="s">
        <v>129</v>
      </c>
      <c r="F19" s="1" t="s">
        <v>32</v>
      </c>
      <c r="G19" s="1" t="s">
        <v>31</v>
      </c>
      <c r="H19" s="1" t="s">
        <v>123</v>
      </c>
      <c r="I19" s="1" t="s">
        <v>130</v>
      </c>
      <c r="J19" s="1" t="s">
        <v>131</v>
      </c>
      <c r="K19" s="1" t="s">
        <v>132</v>
      </c>
      <c r="L19" s="10" t="s">
        <v>125</v>
      </c>
      <c r="M19" s="10" t="s">
        <v>125</v>
      </c>
      <c r="N19" s="10" t="s">
        <v>120</v>
      </c>
      <c r="O19" s="10" t="s">
        <v>126</v>
      </c>
      <c r="P19" s="10" t="s">
        <v>125</v>
      </c>
      <c r="Q19" s="10" t="s">
        <v>125</v>
      </c>
      <c r="R19" s="10" t="s">
        <v>125</v>
      </c>
      <c r="S19" s="1" t="s">
        <v>133</v>
      </c>
      <c r="T19" s="1" t="s">
        <v>134</v>
      </c>
    </row>
    <row r="20" spans="1:20" ht="23" customHeight="1">
      <c r="A20" s="5" t="s">
        <v>145</v>
      </c>
      <c r="B20" s="9">
        <v>4</v>
      </c>
      <c r="C20" s="9" t="s">
        <v>120</v>
      </c>
      <c r="D20" s="11" t="s">
        <v>121</v>
      </c>
      <c r="E20" s="5" t="s">
        <v>39</v>
      </c>
      <c r="F20" s="5" t="s">
        <v>39</v>
      </c>
      <c r="G20" s="5" t="s">
        <v>38</v>
      </c>
      <c r="H20" s="5" t="s">
        <v>146</v>
      </c>
      <c r="I20" s="5"/>
      <c r="J20" s="5"/>
      <c r="K20" s="5"/>
      <c r="L20" s="9" t="s">
        <v>125</v>
      </c>
      <c r="M20" s="9" t="s">
        <v>125</v>
      </c>
      <c r="N20" s="9" t="s">
        <v>120</v>
      </c>
      <c r="O20" s="9" t="s">
        <v>126</v>
      </c>
      <c r="P20" s="9" t="s">
        <v>125</v>
      </c>
      <c r="Q20" s="9" t="s">
        <v>125</v>
      </c>
      <c r="R20" s="9" t="s">
        <v>125</v>
      </c>
      <c r="S20" s="5" t="s">
        <v>147</v>
      </c>
      <c r="T20" s="5" t="s">
        <v>148</v>
      </c>
    </row>
    <row r="21" spans="1:20" ht="23" customHeight="1">
      <c r="A21" s="1" t="s">
        <v>149</v>
      </c>
      <c r="B21" s="10">
        <v>4</v>
      </c>
      <c r="C21" s="10" t="s">
        <v>120</v>
      </c>
      <c r="D21" s="12" t="s">
        <v>121</v>
      </c>
      <c r="E21" s="1" t="s">
        <v>39</v>
      </c>
      <c r="F21" s="1" t="s">
        <v>39</v>
      </c>
      <c r="G21" s="1" t="s">
        <v>38</v>
      </c>
      <c r="H21" s="1" t="s">
        <v>146</v>
      </c>
      <c r="I21" s="1"/>
      <c r="J21" s="1"/>
      <c r="K21" s="1"/>
      <c r="L21" s="10" t="s">
        <v>125</v>
      </c>
      <c r="M21" s="10" t="s">
        <v>125</v>
      </c>
      <c r="N21" s="10" t="s">
        <v>120</v>
      </c>
      <c r="O21" s="10" t="s">
        <v>126</v>
      </c>
      <c r="P21" s="10" t="s">
        <v>125</v>
      </c>
      <c r="Q21" s="10" t="s">
        <v>125</v>
      </c>
      <c r="R21" s="10" t="s">
        <v>125</v>
      </c>
      <c r="S21" s="1" t="s">
        <v>147</v>
      </c>
      <c r="T21" s="1" t="s">
        <v>150</v>
      </c>
    </row>
    <row r="22" spans="1:20" ht="23" customHeight="1">
      <c r="A22" s="5" t="s">
        <v>151</v>
      </c>
      <c r="B22" s="9">
        <v>5</v>
      </c>
      <c r="C22" s="9" t="s">
        <v>120</v>
      </c>
      <c r="D22" s="11" t="s">
        <v>121</v>
      </c>
      <c r="E22" s="5" t="s">
        <v>45</v>
      </c>
      <c r="F22" s="5" t="s">
        <v>45</v>
      </c>
      <c r="G22" s="5" t="s">
        <v>44</v>
      </c>
      <c r="H22" s="5" t="s">
        <v>152</v>
      </c>
      <c r="I22" s="5"/>
      <c r="J22" s="5"/>
      <c r="K22" s="5"/>
      <c r="L22" s="9" t="s">
        <v>125</v>
      </c>
      <c r="M22" s="9" t="s">
        <v>125</v>
      </c>
      <c r="N22" s="9" t="s">
        <v>120</v>
      </c>
      <c r="O22" s="9" t="s">
        <v>126</v>
      </c>
      <c r="P22" s="9" t="s">
        <v>125</v>
      </c>
      <c r="Q22" s="9" t="s">
        <v>125</v>
      </c>
      <c r="R22" s="9" t="s">
        <v>125</v>
      </c>
      <c r="S22" s="5" t="s">
        <v>153</v>
      </c>
      <c r="T22" s="5" t="s">
        <v>154</v>
      </c>
    </row>
    <row r="23" spans="1:20" ht="23" customHeight="1">
      <c r="A23" s="1" t="s">
        <v>155</v>
      </c>
      <c r="B23" s="10">
        <v>5</v>
      </c>
      <c r="C23" s="10" t="s">
        <v>120</v>
      </c>
      <c r="D23" s="12" t="s">
        <v>121</v>
      </c>
      <c r="E23" s="1" t="s">
        <v>45</v>
      </c>
      <c r="F23" s="1" t="s">
        <v>45</v>
      </c>
      <c r="G23" s="1" t="s">
        <v>44</v>
      </c>
      <c r="H23" s="1" t="s">
        <v>152</v>
      </c>
      <c r="I23" s="1"/>
      <c r="J23" s="1"/>
      <c r="K23" s="1"/>
      <c r="L23" s="10" t="s">
        <v>125</v>
      </c>
      <c r="M23" s="10" t="s">
        <v>125</v>
      </c>
      <c r="N23" s="10" t="s">
        <v>120</v>
      </c>
      <c r="O23" s="10" t="s">
        <v>126</v>
      </c>
      <c r="P23" s="10" t="s">
        <v>125</v>
      </c>
      <c r="Q23" s="10" t="s">
        <v>125</v>
      </c>
      <c r="R23" s="10" t="s">
        <v>125</v>
      </c>
      <c r="S23" s="1" t="s">
        <v>153</v>
      </c>
      <c r="T23" s="1" t="s">
        <v>154</v>
      </c>
    </row>
    <row r="24" spans="1:20" ht="23" customHeight="1">
      <c r="A24" s="5" t="s">
        <v>47</v>
      </c>
      <c r="B24" s="9">
        <v>6</v>
      </c>
      <c r="C24" s="9" t="s">
        <v>120</v>
      </c>
      <c r="D24" s="11" t="s">
        <v>121</v>
      </c>
      <c r="E24" s="5" t="s">
        <v>51</v>
      </c>
      <c r="F24" s="5" t="s">
        <v>51</v>
      </c>
      <c r="G24" s="5" t="s">
        <v>50</v>
      </c>
      <c r="H24" s="5" t="s">
        <v>156</v>
      </c>
      <c r="I24" s="5"/>
      <c r="J24" s="5"/>
      <c r="K24" s="5"/>
      <c r="L24" s="9" t="s">
        <v>125</v>
      </c>
      <c r="M24" s="9" t="s">
        <v>125</v>
      </c>
      <c r="N24" s="9" t="s">
        <v>120</v>
      </c>
      <c r="O24" s="9" t="s">
        <v>126</v>
      </c>
      <c r="P24" s="9" t="s">
        <v>125</v>
      </c>
      <c r="Q24" s="9" t="s">
        <v>125</v>
      </c>
      <c r="R24" s="9" t="s">
        <v>125</v>
      </c>
      <c r="S24" s="5" t="s">
        <v>157</v>
      </c>
      <c r="T24" s="5" t="s">
        <v>158</v>
      </c>
    </row>
    <row r="25" spans="1:20" ht="23" customHeight="1">
      <c r="A25" s="1" t="s">
        <v>159</v>
      </c>
      <c r="B25" s="10"/>
      <c r="C25" s="10" t="s">
        <v>125</v>
      </c>
      <c r="D25" s="12" t="s">
        <v>160</v>
      </c>
      <c r="E25" s="1" t="s">
        <v>161</v>
      </c>
      <c r="F25" s="1"/>
      <c r="G25" s="1"/>
      <c r="H25" s="1" t="s">
        <v>162</v>
      </c>
      <c r="I25" s="1"/>
      <c r="J25" s="1"/>
      <c r="K25" s="1"/>
      <c r="L25" s="10" t="s">
        <v>125</v>
      </c>
      <c r="M25" s="10" t="s">
        <v>125</v>
      </c>
      <c r="N25" s="10" t="s">
        <v>125</v>
      </c>
      <c r="O25" s="10" t="s">
        <v>126</v>
      </c>
      <c r="P25" s="10" t="s">
        <v>125</v>
      </c>
      <c r="Q25" s="10" t="s">
        <v>125</v>
      </c>
      <c r="R25" s="10" t="s">
        <v>120</v>
      </c>
      <c r="S25" s="1"/>
      <c r="T25" s="1" t="s">
        <v>163</v>
      </c>
    </row>
    <row r="26" spans="1:20" ht="23" customHeight="1">
      <c r="A26" s="5" t="s">
        <v>164</v>
      </c>
      <c r="B26" s="9"/>
      <c r="C26" s="9" t="s">
        <v>125</v>
      </c>
      <c r="D26" s="11" t="s">
        <v>160</v>
      </c>
      <c r="E26" s="5" t="s">
        <v>161</v>
      </c>
      <c r="F26" s="5"/>
      <c r="G26" s="5"/>
      <c r="H26" s="5" t="s">
        <v>162</v>
      </c>
      <c r="I26" s="5"/>
      <c r="J26" s="5"/>
      <c r="K26" s="5"/>
      <c r="L26" s="9" t="s">
        <v>125</v>
      </c>
      <c r="M26" s="9" t="s">
        <v>125</v>
      </c>
      <c r="N26" s="9" t="s">
        <v>125</v>
      </c>
      <c r="O26" s="9" t="s">
        <v>126</v>
      </c>
      <c r="P26" s="9" t="s">
        <v>125</v>
      </c>
      <c r="Q26" s="9" t="s">
        <v>125</v>
      </c>
      <c r="R26" s="9" t="s">
        <v>120</v>
      </c>
      <c r="S26" s="5"/>
      <c r="T26" s="5" t="s">
        <v>163</v>
      </c>
    </row>
    <row r="27" spans="1:20" ht="23" customHeight="1">
      <c r="A27" s="1" t="s">
        <v>165</v>
      </c>
      <c r="B27" s="10"/>
      <c r="C27" s="10" t="s">
        <v>125</v>
      </c>
      <c r="D27" s="12" t="s">
        <v>160</v>
      </c>
      <c r="E27" s="1" t="s">
        <v>161</v>
      </c>
      <c r="F27" s="1"/>
      <c r="G27" s="1"/>
      <c r="H27" s="1" t="s">
        <v>162</v>
      </c>
      <c r="I27" s="1"/>
      <c r="J27" s="1"/>
      <c r="K27" s="1"/>
      <c r="L27" s="10" t="s">
        <v>125</v>
      </c>
      <c r="M27" s="10" t="s">
        <v>125</v>
      </c>
      <c r="N27" s="10" t="s">
        <v>125</v>
      </c>
      <c r="O27" s="10" t="s">
        <v>126</v>
      </c>
      <c r="P27" s="10" t="s">
        <v>125</v>
      </c>
      <c r="Q27" s="10" t="s">
        <v>125</v>
      </c>
      <c r="R27" s="10" t="s">
        <v>120</v>
      </c>
      <c r="S27" s="1"/>
      <c r="T27" s="1" t="s">
        <v>163</v>
      </c>
    </row>
    <row r="28" spans="1:20" ht="23" customHeight="1">
      <c r="A28" s="5" t="s">
        <v>166</v>
      </c>
      <c r="B28" s="9"/>
      <c r="C28" s="9" t="s">
        <v>125</v>
      </c>
      <c r="D28" s="11" t="s">
        <v>160</v>
      </c>
      <c r="E28" s="5" t="s">
        <v>161</v>
      </c>
      <c r="F28" s="5"/>
      <c r="G28" s="5"/>
      <c r="H28" s="5" t="s">
        <v>162</v>
      </c>
      <c r="I28" s="5"/>
      <c r="J28" s="5"/>
      <c r="K28" s="5"/>
      <c r="L28" s="9" t="s">
        <v>125</v>
      </c>
      <c r="M28" s="9" t="s">
        <v>125</v>
      </c>
      <c r="N28" s="9" t="s">
        <v>125</v>
      </c>
      <c r="O28" s="9" t="s">
        <v>126</v>
      </c>
      <c r="P28" s="9" t="s">
        <v>125</v>
      </c>
      <c r="Q28" s="9" t="s">
        <v>125</v>
      </c>
      <c r="R28" s="9" t="s">
        <v>120</v>
      </c>
      <c r="S28" s="5"/>
      <c r="T28" s="5" t="s">
        <v>163</v>
      </c>
    </row>
    <row r="29" spans="1:20" ht="38" customHeight="1">
      <c r="A29" s="1" t="s">
        <v>167</v>
      </c>
      <c r="B29" s="10"/>
      <c r="C29" s="10" t="s">
        <v>125</v>
      </c>
      <c r="D29" s="12" t="s">
        <v>168</v>
      </c>
      <c r="E29" s="1" t="s">
        <v>169</v>
      </c>
      <c r="F29" s="1"/>
      <c r="G29" s="1"/>
      <c r="H29" s="1" t="s">
        <v>170</v>
      </c>
      <c r="I29" s="1"/>
      <c r="J29" s="1"/>
      <c r="K29" s="1"/>
      <c r="L29" s="10" t="s">
        <v>125</v>
      </c>
      <c r="M29" s="10" t="s">
        <v>125</v>
      </c>
      <c r="N29" s="10" t="s">
        <v>120</v>
      </c>
      <c r="O29" s="10" t="s">
        <v>126</v>
      </c>
      <c r="P29" s="10" t="s">
        <v>125</v>
      </c>
      <c r="Q29" s="10" t="s">
        <v>125</v>
      </c>
      <c r="R29" s="10" t="s">
        <v>125</v>
      </c>
      <c r="S29" s="1"/>
      <c r="T29" s="1" t="s">
        <v>171</v>
      </c>
    </row>
    <row r="30" spans="1:20" ht="38" customHeight="1">
      <c r="A30" s="5" t="s">
        <v>172</v>
      </c>
      <c r="B30" s="9"/>
      <c r="C30" s="9" t="s">
        <v>125</v>
      </c>
      <c r="D30" s="11" t="s">
        <v>168</v>
      </c>
      <c r="E30" s="5" t="s">
        <v>173</v>
      </c>
      <c r="F30" s="5"/>
      <c r="G30" s="5"/>
      <c r="H30" s="5" t="s">
        <v>174</v>
      </c>
      <c r="I30" s="5"/>
      <c r="J30" s="5"/>
      <c r="K30" s="5"/>
      <c r="L30" s="9" t="s">
        <v>125</v>
      </c>
      <c r="M30" s="9" t="s">
        <v>125</v>
      </c>
      <c r="N30" s="9" t="s">
        <v>120</v>
      </c>
      <c r="O30" s="9" t="s">
        <v>126</v>
      </c>
      <c r="P30" s="9" t="s">
        <v>125</v>
      </c>
      <c r="Q30" s="9" t="s">
        <v>125</v>
      </c>
      <c r="R30" s="9" t="s">
        <v>125</v>
      </c>
      <c r="S30" s="5"/>
      <c r="T30" s="5" t="s">
        <v>171</v>
      </c>
    </row>
    <row r="31" spans="1:20" ht="38" customHeight="1">
      <c r="A31" s="1" t="s">
        <v>175</v>
      </c>
      <c r="B31" s="10"/>
      <c r="C31" s="10" t="s">
        <v>125</v>
      </c>
      <c r="D31" s="12" t="s">
        <v>168</v>
      </c>
      <c r="E31" s="1" t="s">
        <v>176</v>
      </c>
      <c r="F31" s="1"/>
      <c r="G31" s="1"/>
      <c r="H31" s="1" t="s">
        <v>177</v>
      </c>
      <c r="I31" s="1"/>
      <c r="J31" s="1"/>
      <c r="K31" s="1"/>
      <c r="L31" s="10" t="s">
        <v>125</v>
      </c>
      <c r="M31" s="10" t="s">
        <v>125</v>
      </c>
      <c r="N31" s="10" t="s">
        <v>120</v>
      </c>
      <c r="O31" s="10" t="s">
        <v>126</v>
      </c>
      <c r="P31" s="10" t="s">
        <v>125</v>
      </c>
      <c r="Q31" s="10" t="s">
        <v>125</v>
      </c>
      <c r="R31" s="10" t="s">
        <v>125</v>
      </c>
      <c r="S31" s="1"/>
      <c r="T31" s="1" t="s">
        <v>171</v>
      </c>
    </row>
    <row r="32" spans="1:20" ht="23" customHeight="1">
      <c r="A32" s="5" t="s">
        <v>52</v>
      </c>
      <c r="B32" s="9">
        <v>7</v>
      </c>
      <c r="C32" s="9" t="s">
        <v>120</v>
      </c>
      <c r="D32" s="11" t="s">
        <v>121</v>
      </c>
      <c r="E32" s="5" t="s">
        <v>178</v>
      </c>
      <c r="F32" s="5"/>
      <c r="G32" s="5"/>
      <c r="H32" s="5" t="s">
        <v>179</v>
      </c>
      <c r="I32" s="5"/>
      <c r="J32" s="5" t="s">
        <v>180</v>
      </c>
      <c r="K32" s="5"/>
      <c r="L32" s="9" t="s">
        <v>125</v>
      </c>
      <c r="M32" s="9" t="s">
        <v>125</v>
      </c>
      <c r="N32" s="9" t="s">
        <v>120</v>
      </c>
      <c r="O32" s="9" t="s">
        <v>126</v>
      </c>
      <c r="P32" s="9" t="s">
        <v>125</v>
      </c>
      <c r="Q32" s="9" t="s">
        <v>125</v>
      </c>
      <c r="R32" s="9" t="s">
        <v>125</v>
      </c>
      <c r="S32" s="5"/>
      <c r="T32" s="5" t="s">
        <v>181</v>
      </c>
    </row>
    <row r="33" spans="1:20" ht="23" customHeight="1">
      <c r="A33" s="1" t="s">
        <v>182</v>
      </c>
      <c r="B33" s="10">
        <v>8</v>
      </c>
      <c r="C33" s="10" t="s">
        <v>120</v>
      </c>
      <c r="D33" s="12" t="s">
        <v>121</v>
      </c>
      <c r="E33" s="1" t="s">
        <v>183</v>
      </c>
      <c r="F33" s="1"/>
      <c r="G33" s="1"/>
      <c r="H33" s="1" t="s">
        <v>179</v>
      </c>
      <c r="I33" s="1"/>
      <c r="J33" s="1"/>
      <c r="K33" s="1"/>
      <c r="L33" s="10" t="s">
        <v>125</v>
      </c>
      <c r="M33" s="10" t="s">
        <v>125</v>
      </c>
      <c r="N33" s="10" t="s">
        <v>120</v>
      </c>
      <c r="O33" s="10" t="s">
        <v>126</v>
      </c>
      <c r="P33" s="10" t="s">
        <v>125</v>
      </c>
      <c r="Q33" s="10" t="s">
        <v>125</v>
      </c>
      <c r="R33" s="10" t="s">
        <v>125</v>
      </c>
      <c r="S33" s="1"/>
      <c r="T33" s="1"/>
    </row>
    <row r="34" spans="1:20" ht="23" customHeight="1">
      <c r="A34" s="5" t="s">
        <v>184</v>
      </c>
      <c r="B34" s="9">
        <v>8</v>
      </c>
      <c r="C34" s="9" t="s">
        <v>120</v>
      </c>
      <c r="D34" s="11" t="s">
        <v>121</v>
      </c>
      <c r="E34" s="5" t="s">
        <v>183</v>
      </c>
      <c r="F34" s="5"/>
      <c r="G34" s="5"/>
      <c r="H34" s="5" t="s">
        <v>179</v>
      </c>
      <c r="I34" s="5"/>
      <c r="J34" s="5"/>
      <c r="K34" s="5"/>
      <c r="L34" s="9" t="s">
        <v>125</v>
      </c>
      <c r="M34" s="9" t="s">
        <v>125</v>
      </c>
      <c r="N34" s="9" t="s">
        <v>120</v>
      </c>
      <c r="O34" s="9" t="s">
        <v>126</v>
      </c>
      <c r="P34" s="9" t="s">
        <v>125</v>
      </c>
      <c r="Q34" s="9" t="s">
        <v>125</v>
      </c>
      <c r="R34" s="9" t="s">
        <v>125</v>
      </c>
      <c r="S34" s="5"/>
      <c r="T34" s="5"/>
    </row>
    <row r="35" spans="1:20" ht="23" customHeight="1">
      <c r="A35" s="1" t="s">
        <v>185</v>
      </c>
      <c r="B35" s="10">
        <v>8</v>
      </c>
      <c r="C35" s="10" t="s">
        <v>120</v>
      </c>
      <c r="D35" s="12" t="s">
        <v>121</v>
      </c>
      <c r="E35" s="1" t="s">
        <v>183</v>
      </c>
      <c r="F35" s="1"/>
      <c r="G35" s="1"/>
      <c r="H35" s="1" t="s">
        <v>179</v>
      </c>
      <c r="I35" s="1"/>
      <c r="J35" s="1"/>
      <c r="K35" s="1"/>
      <c r="L35" s="10" t="s">
        <v>125</v>
      </c>
      <c r="M35" s="10" t="s">
        <v>125</v>
      </c>
      <c r="N35" s="10" t="s">
        <v>120</v>
      </c>
      <c r="O35" s="10" t="s">
        <v>126</v>
      </c>
      <c r="P35" s="10" t="s">
        <v>125</v>
      </c>
      <c r="Q35" s="10" t="s">
        <v>125</v>
      </c>
      <c r="R35" s="10" t="s">
        <v>125</v>
      </c>
      <c r="S35" s="1"/>
      <c r="T35" s="1"/>
    </row>
    <row r="36" spans="1:20" ht="23" customHeight="1">
      <c r="A36" s="5" t="s">
        <v>186</v>
      </c>
      <c r="B36" s="9">
        <v>8</v>
      </c>
      <c r="C36" s="9" t="s">
        <v>120</v>
      </c>
      <c r="D36" s="11" t="s">
        <v>121</v>
      </c>
      <c r="E36" s="5" t="s">
        <v>183</v>
      </c>
      <c r="F36" s="5"/>
      <c r="G36" s="5"/>
      <c r="H36" s="5" t="s">
        <v>179</v>
      </c>
      <c r="I36" s="5"/>
      <c r="J36" s="5"/>
      <c r="K36" s="5"/>
      <c r="L36" s="9" t="s">
        <v>125</v>
      </c>
      <c r="M36" s="9" t="s">
        <v>125</v>
      </c>
      <c r="N36" s="9" t="s">
        <v>120</v>
      </c>
      <c r="O36" s="9" t="s">
        <v>126</v>
      </c>
      <c r="P36" s="9" t="s">
        <v>125</v>
      </c>
      <c r="Q36" s="9" t="s">
        <v>125</v>
      </c>
      <c r="R36" s="9" t="s">
        <v>125</v>
      </c>
      <c r="S36" s="5"/>
      <c r="T36" s="5"/>
    </row>
    <row r="37" spans="1:20" ht="23" customHeight="1">
      <c r="A37" s="1" t="s">
        <v>58</v>
      </c>
      <c r="B37" s="10">
        <v>9</v>
      </c>
      <c r="C37" s="10" t="s">
        <v>120</v>
      </c>
      <c r="D37" s="12" t="s">
        <v>121</v>
      </c>
      <c r="E37" s="1" t="s">
        <v>187</v>
      </c>
      <c r="F37" s="1"/>
      <c r="G37" s="1"/>
      <c r="H37" s="1" t="s">
        <v>179</v>
      </c>
      <c r="I37" s="1"/>
      <c r="J37" s="1"/>
      <c r="K37" s="1"/>
      <c r="L37" s="10" t="s">
        <v>125</v>
      </c>
      <c r="M37" s="10" t="s">
        <v>125</v>
      </c>
      <c r="N37" s="10" t="s">
        <v>120</v>
      </c>
      <c r="O37" s="10" t="s">
        <v>126</v>
      </c>
      <c r="P37" s="10" t="s">
        <v>125</v>
      </c>
      <c r="Q37" s="10" t="s">
        <v>125</v>
      </c>
      <c r="R37" s="10" t="s">
        <v>125</v>
      </c>
      <c r="S37" s="1"/>
      <c r="T37" s="1"/>
    </row>
    <row r="38" spans="1:20" ht="23" customHeight="1">
      <c r="A38" s="5" t="s">
        <v>188</v>
      </c>
      <c r="B38" s="9">
        <v>10</v>
      </c>
      <c r="C38" s="9" t="s">
        <v>120</v>
      </c>
      <c r="D38" s="11" t="s">
        <v>121</v>
      </c>
      <c r="E38" s="5" t="s">
        <v>189</v>
      </c>
      <c r="F38" s="5"/>
      <c r="G38" s="5"/>
      <c r="H38" s="5" t="s">
        <v>179</v>
      </c>
      <c r="I38" s="5"/>
      <c r="J38" s="5"/>
      <c r="K38" s="5"/>
      <c r="L38" s="9" t="s">
        <v>125</v>
      </c>
      <c r="M38" s="9" t="s">
        <v>125</v>
      </c>
      <c r="N38" s="9" t="s">
        <v>120</v>
      </c>
      <c r="O38" s="9" t="s">
        <v>126</v>
      </c>
      <c r="P38" s="9" t="s">
        <v>125</v>
      </c>
      <c r="Q38" s="9" t="s">
        <v>125</v>
      </c>
      <c r="R38" s="9" t="s">
        <v>125</v>
      </c>
      <c r="S38" s="5"/>
      <c r="T38" s="5"/>
    </row>
    <row r="39" spans="1:20" ht="23" customHeight="1">
      <c r="A39" s="1" t="s">
        <v>190</v>
      </c>
      <c r="B39" s="10">
        <v>10</v>
      </c>
      <c r="C39" s="10" t="s">
        <v>120</v>
      </c>
      <c r="D39" s="12" t="s">
        <v>121</v>
      </c>
      <c r="E39" s="1" t="s">
        <v>189</v>
      </c>
      <c r="F39" s="1"/>
      <c r="G39" s="1"/>
      <c r="H39" s="1" t="s">
        <v>179</v>
      </c>
      <c r="I39" s="1"/>
      <c r="J39" s="1"/>
      <c r="K39" s="1"/>
      <c r="L39" s="10" t="s">
        <v>125</v>
      </c>
      <c r="M39" s="10" t="s">
        <v>125</v>
      </c>
      <c r="N39" s="10" t="s">
        <v>120</v>
      </c>
      <c r="O39" s="10" t="s">
        <v>126</v>
      </c>
      <c r="P39" s="10" t="s">
        <v>125</v>
      </c>
      <c r="Q39" s="10" t="s">
        <v>125</v>
      </c>
      <c r="R39" s="10" t="s">
        <v>125</v>
      </c>
      <c r="S39" s="1"/>
      <c r="T39" s="1"/>
    </row>
    <row r="40" spans="1:20" ht="23" customHeight="1">
      <c r="A40" s="5" t="s">
        <v>62</v>
      </c>
      <c r="B40" s="9">
        <v>11</v>
      </c>
      <c r="C40" s="9" t="s">
        <v>120</v>
      </c>
      <c r="D40" s="11" t="s">
        <v>121</v>
      </c>
      <c r="E40" s="5" t="s">
        <v>191</v>
      </c>
      <c r="F40" s="5"/>
      <c r="G40" s="5"/>
      <c r="H40" s="5" t="s">
        <v>192</v>
      </c>
      <c r="I40" s="5"/>
      <c r="J40" s="5"/>
      <c r="K40" s="5"/>
      <c r="L40" s="9" t="s">
        <v>125</v>
      </c>
      <c r="M40" s="9" t="s">
        <v>125</v>
      </c>
      <c r="N40" s="9" t="s">
        <v>120</v>
      </c>
      <c r="O40" s="9" t="s">
        <v>126</v>
      </c>
      <c r="P40" s="9" t="s">
        <v>125</v>
      </c>
      <c r="Q40" s="9" t="s">
        <v>125</v>
      </c>
      <c r="R40" s="9" t="s">
        <v>125</v>
      </c>
      <c r="S40" s="5"/>
      <c r="T40" s="5" t="s">
        <v>193</v>
      </c>
    </row>
    <row r="41" spans="1:20" ht="23" customHeight="1">
      <c r="A41" s="1" t="s">
        <v>65</v>
      </c>
      <c r="B41" s="10">
        <v>12</v>
      </c>
      <c r="C41" s="10" t="s">
        <v>120</v>
      </c>
      <c r="D41" s="12" t="s">
        <v>121</v>
      </c>
      <c r="E41" s="1" t="s">
        <v>69</v>
      </c>
      <c r="F41" s="1" t="s">
        <v>69</v>
      </c>
      <c r="G41" s="1" t="s">
        <v>68</v>
      </c>
      <c r="H41" s="1" t="s">
        <v>194</v>
      </c>
      <c r="I41" s="1"/>
      <c r="J41" s="1"/>
      <c r="K41" s="1"/>
      <c r="L41" s="10" t="s">
        <v>125</v>
      </c>
      <c r="M41" s="10" t="s">
        <v>125</v>
      </c>
      <c r="N41" s="10" t="s">
        <v>120</v>
      </c>
      <c r="O41" s="10" t="s">
        <v>126</v>
      </c>
      <c r="P41" s="10" t="s">
        <v>125</v>
      </c>
      <c r="Q41" s="10" t="s">
        <v>125</v>
      </c>
      <c r="R41" s="10" t="s">
        <v>125</v>
      </c>
      <c r="S41" s="1" t="s">
        <v>195</v>
      </c>
      <c r="T41" s="1" t="s">
        <v>196</v>
      </c>
    </row>
    <row r="42" spans="1:20" ht="23" customHeight="1">
      <c r="A42" s="5" t="s">
        <v>70</v>
      </c>
      <c r="B42" s="9">
        <v>13</v>
      </c>
      <c r="C42" s="9" t="s">
        <v>120</v>
      </c>
      <c r="D42" s="11" t="s">
        <v>121</v>
      </c>
      <c r="E42" s="5" t="s">
        <v>74</v>
      </c>
      <c r="F42" s="5" t="s">
        <v>74</v>
      </c>
      <c r="G42" s="5" t="s">
        <v>73</v>
      </c>
      <c r="H42" s="5" t="s">
        <v>197</v>
      </c>
      <c r="I42" s="5"/>
      <c r="J42" s="5"/>
      <c r="K42" s="5"/>
      <c r="L42" s="9" t="s">
        <v>125</v>
      </c>
      <c r="M42" s="9" t="s">
        <v>125</v>
      </c>
      <c r="N42" s="9" t="s">
        <v>120</v>
      </c>
      <c r="O42" s="9" t="s">
        <v>126</v>
      </c>
      <c r="P42" s="9" t="s">
        <v>125</v>
      </c>
      <c r="Q42" s="9" t="s">
        <v>125</v>
      </c>
      <c r="R42" s="9" t="s">
        <v>125</v>
      </c>
      <c r="S42" s="5" t="s">
        <v>198</v>
      </c>
      <c r="T42" s="5" t="s">
        <v>199</v>
      </c>
    </row>
    <row r="43" spans="1:20" ht="23" customHeight="1">
      <c r="A43" s="1" t="s">
        <v>75</v>
      </c>
      <c r="B43" s="10">
        <v>14</v>
      </c>
      <c r="C43" s="10" t="s">
        <v>120</v>
      </c>
      <c r="D43" s="12" t="s">
        <v>121</v>
      </c>
      <c r="E43" s="1" t="s">
        <v>77</v>
      </c>
      <c r="F43" s="1" t="s">
        <v>77</v>
      </c>
      <c r="G43" s="1" t="s">
        <v>73</v>
      </c>
      <c r="H43" s="1" t="s">
        <v>197</v>
      </c>
      <c r="I43" s="1"/>
      <c r="J43" s="1"/>
      <c r="K43" s="1"/>
      <c r="L43" s="10" t="s">
        <v>125</v>
      </c>
      <c r="M43" s="10" t="s">
        <v>125</v>
      </c>
      <c r="N43" s="10" t="s">
        <v>120</v>
      </c>
      <c r="O43" s="10" t="s">
        <v>126</v>
      </c>
      <c r="P43" s="10" t="s">
        <v>125</v>
      </c>
      <c r="Q43" s="10" t="s">
        <v>125</v>
      </c>
      <c r="R43" s="10" t="s">
        <v>125</v>
      </c>
      <c r="S43" s="1" t="s">
        <v>200</v>
      </c>
      <c r="T43" s="1" t="s">
        <v>201</v>
      </c>
    </row>
    <row r="44" spans="1:20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구매 BOM</vt:lpstr>
      <vt:lpstr>원본 부품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 YUN</cp:lastModifiedBy>
  <dcterms:modified xsi:type="dcterms:W3CDTF">2026-10-13T11:54:34Z</dcterms:modified>
</cp:coreProperties>
</file>