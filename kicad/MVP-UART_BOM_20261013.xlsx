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8b2cbe21f469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d1ed81ced66d4000"/>
    <sheet name="검토사항" sheetId="2" r:id="R2f96747fc2c54a7b"/>
  </sheets>
  <definedNames>
    <definedName name="_xlnm._FilterDatabase" localSheetId="0" hidden="1">BOM!$A$8:$L$37</definedName>
    <definedName name="_xlnm.Print_Titles" localSheetId="0">BOM!$8:$8</definedName>
    <definedName name="_xlnm.Print_Area" localSheetId="0">'BOM'!$A$1:$L$38</definedName>
    <definedName name="_xlnm.Print_Area" localSheetId="1">'검토사항'!$A$1:$B$26</definedName>
  </definedNames>
</workbook>
</file>

<file path=xl/comments1.xml><?xml version="1.0" encoding="utf-8"?>
<x:comments xmlns:x="http://schemas.openxmlformats.org/spreadsheetml/2006/main">
  <x:authors>
    <x:author>BOM</x:author>
  </x:authors>
  <x:commentList>
    <x:comment ref="H6" authorId="0">
      <x:text>
        <x:r>
          <x:t>생산 수량(EA). 필요수량 = Q'TY x 이 값. 업로드된 양식 예시값 5를 기본으로 둠 - 실제 수량으로 수정하세요.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<x:sst xmlns:x="http://schemas.openxmlformats.org/spreadsheetml/2006/main">
  <x:si>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BILL OF MATERIAL LIST
_Product List</x:t>
  </x:si>
  <x:si>
    <x:t xml:space="preserve">P/L NO. :</x:t>
  </x:si>
  <x:si>
    <x:t xml:space="preserve">RETI MODEL :</x:t>
  </x:si>
  <x:si>
    <x:t xml:space="preserve">BUYER MODEL :</x:t>
  </x:si>
  <x:si>
    <x:t xml:space="preserve">작성일자 :</x:t>
  </x:si>
  <x:si>
    <x:t xml:space="preserve">담당 :</x:t>
  </x:si>
  <x:si>
    <x:t xml:space="preserve">수량(EA) :</x:t>
  </x:si>
  <x:si>
    <x:t xml:space="preserve">No.</x:t>
  </x:si>
  <x:si>
    <x:t xml:space="preserve">LEVEL</x:t>
  </x:si>
  <x:si>
    <x:t xml:space="preserve">Value</x:t>
  </x:si>
  <x:si>
    <x:t xml:space="preserve">Part</x:t>
  </x:si>
  <x:si>
    <x:t xml:space="preserve">Part number</x:t>
  </x:si>
  <x:si>
    <x:t xml:space="preserve">Short Description</x:t>
  </x:si>
  <x:si>
    <x:t xml:space="preserve">PACKAGE</x:t>
  </x:si>
  <x:si>
    <x:t xml:space="preserve">Q'TY</x:t>
  </x:si>
  <x:si>
    <x:t xml:space="preserve">LOCATION</x:t>
  </x:si>
  <x:si>
    <x:t xml:space="preserve">필요수량</x:t>
  </x:si>
  <x:si>
    <x:t xml:space="preserve">Vendor</x:t>
  </x:si>
  <x:si>
    <x:t xml:space="preserve">기타</x:t>
  </x:si>
  <x:si>
    <x:t xml:space="preserve">TOTAL (실장 기준, DNP/PCB 제외)</x:t>
  </x:si>
  <x:si>
    <x:t xml:space="preserve">추출 정보</x:t>
  </x:si>
  <x:si>
    <x:t xml:space="preserve">확인 필요 항목</x:t>
  </x:si>
  <x:si>
    <x:t xml:space="preserve">Reference</x:t>
  </x:si>
  <x:si>
    <x:t xml:space="preserve">내용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</x:si>
</x:sst>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맑은 고딕"/>
      <x:family val="2"/>
      <x:scheme val="minor"/>
    </x:font>
    <x:font>
      <x:u val="single"/>
      <x:sz val="12"/>
      <x:name val="맑은 고딕"/>
      <x:family val="3"/>
    </x:font>
    <x:font>
      <x:sz val="8"/>
      <x:name val="맑은 고딕"/>
      <x:family val="3"/>
    </x:font>
    <x:font>
      <x:sz val="9"/>
      <x:name val="맑은 고딕"/>
      <x:family val="3"/>
    </x:font>
    <x:font>
      <x:b/>
      <x:sz val="9"/>
      <x:name val="맑은 고딕"/>
      <x:family val="3"/>
    </x:font>
    <x:font>
      <x:b/>
      <x:sz val="9"/>
      <x:color rgb="FF0000FF"/>
      <x:name val="맑은 고딕"/>
      <x:family val="3"/>
    </x:font>
    <x:font>
      <x:b/>
      <x:sz val="11"/>
      <x:name val="맑은 고딕"/>
      <x:family val="3"/>
    </x:font>
    <x:font>
      <x:sz val="8"/>
      <x:name val="맑은 고딕"/>
      <x:family val="3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</x:fills>
  <x:borders count="13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4" xfId="0" applyFont="1" applyBorder="1" applyAlignment="1">
      <x:alignment horizontal="left" vertical="center" wrapText="1"/>
    </x:xf>
    <x:xf numFmtId="0" fontId="4" fillId="3" borderId="12" xfId="0" applyFont="1" applyFill="1" applyBorder="1" applyAlignment="1">
      <x:alignment horizontal="center" vertical="center" wrapText="1"/>
    </x:xf>
    <x:xf numFmtId="0" fontId="3" fillId="0" borderId="12" xfId="0" applyFont="1" applyBorder="1" applyAlignment="1">
      <x:alignment horizontal="center" vertical="center" wrapText="1"/>
    </x:xf>
    <x:xf numFmtId="0" fontId="3" fillId="0" borderId="12" xfId="0" applyFont="1" applyBorder="1" applyAlignment="1">
      <x:alignment horizontal="right" vertical="center" wrapText="1"/>
    </x:xf>
    <x:xf numFmtId="0" fontId="3" fillId="0" borderId="12" xfId="0" applyFont="1" applyBorder="1" applyAlignment="1">
      <x:alignment horizontal="left" vertical="center" wrapText="1"/>
    </x:xf>
    <x:xf numFmtId="0" fontId="0" fillId="3" borderId="12" xfId="0" applyFill="1" applyBorder="1"/>
    <x:xf numFmtId="0" fontId="4" fillId="3" borderId="12" xfId="0" applyFont="1" applyFill="1" applyBorder="1" applyAlignment="1">
      <x:alignment horizontal="left" vertical="center" wrapText="1"/>
    </x:xf>
    <x:xf numFmtId="0" fontId="6" fillId="0" borderId="0" xfId="0" applyFont="1"/>
    <x:xf numFmtId="0" fontId="4" fillId="0" borderId="12" xfId="0" applyFont="1" applyBorder="1"/>
    <x:xf numFmtId="0" fontId="3" fillId="0" borderId="12" xfId="0" applyFont="1" applyBorder="1" applyAlignment="1">
      <x:alignment horizontal="left" vertical="center"/>
    </x:xf>
    <x:xf numFmtId="0" fontId="4" fillId="3" borderId="12" xfId="0" applyFont="1" applyFill="1" applyBorder="1"/>
    <x:xf numFmtId="0" fontId="3" fillId="0" borderId="12" xfId="0" applyFont="1" applyBorder="1" applyAlignment="1">
      <x:alignment vertical="center" wrapText="1"/>
    </x:xf>
    <x:xf numFmtId="0" fontId="4" fillId="4" borderId="12" xfId="0" applyFont="1" applyFill="1" applyBorder="1" applyAlignment="1">
      <x:alignment horizontal="left" vertical="center" wrapText="1"/>
    </x:xf>
    <x:xf numFmtId="0" fontId="0" fillId="0" borderId="12" xfId="0" applyBorder="1"/>
    <x:xf numFmtId="0" fontId="3" fillId="0" borderId="4" xfId="0" applyFont="1" applyBorder="1" applyAlignment="1">
      <x:alignment horizontal="left" vertical="center" wrapText="1"/>
    </x:xf>
    <x:xf numFmtId="0" fontId="0" fillId="0" borderId="5" xfId="0" applyBorder="1"/>
    <x:xf numFmtId="0" fontId="5" fillId="2" borderId="4" xfId="0" applyFont="1" applyFill="1" applyBorder="1" applyAlignment="1">
      <x:alignment horizontal="left" vertical="center" wrapText="1"/>
    </x:xf>
    <x:xf numFmtId="0" fontId="4" fillId="3" borderId="12" xfId="0" applyFont="1" applyFill="1" applyBorder="1" applyAlignment="1">
      <x:alignment horizontal="right" vertical="center"/>
    </x:xf>
    <x:xf numFmtId="0" fontId="0" fillId="3" borderId="12" xfId="0" applyFill="1" applyBorder="1"/>
    <x:xf numFmtId="0" fontId="1" fillId="0" borderId="1" xfId="0" applyFont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0" fillId="0" borderId="11" xfId="0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b3429b0174134" /><Relationship Type="http://schemas.openxmlformats.org/officeDocument/2006/relationships/theme" Target="/xl/theme/theme1.xml" Id="R9c6dd28cdeb04072" /><Relationship Type="http://schemas.openxmlformats.org/officeDocument/2006/relationships/sharedStrings" Target="/xl/sharedStrings.xml" Id="Rf359e33e477f42de" /><Relationship Type="http://schemas.openxmlformats.org/officeDocument/2006/relationships/worksheet" Target="/xl/worksheets/sheet1.xml" Id="Rd1ed81ced66d4000" /><Relationship Type="http://schemas.openxmlformats.org/officeDocument/2006/relationships/worksheet" Target="/xl/worksheets/sheet2.xml" Id="R2f96747fc2c54a7b" /><Relationship Type="http://schemas.microsoft.com/office/2017/10/relationships/person" Target="/xl/persons/person.xml" Id="R0bcc2affd5274523" /></Relationships>
</file>

<file path=xl/persons/person.xml><?xml version="1.0" encoding="utf-8"?>
<xltc:personList xmlns:xltc="http://schemas.microsoft.com/office/spreadsheetml/2018/threadedcomments">
  <xltc:person displayName="BOM" id="{9E69BA67-FE79-89B4-5D86-66E3F73AF1B8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96659e3b520461f" /><Relationship Type="http://schemas.openxmlformats.org/officeDocument/2006/relationships/vmlDrawing" Target="/xl/drawings/vmldrawing.vml" Id="Rc4279b2c1dcf42a4" /></Relationships>
</file>

<file path=xl/worksheets/sheet1.xml><?xml version="1.0" encoding="utf-8"?>
<worksheet xmlns="http://schemas.openxmlformats.org/spreadsheetml/2006/main" xmlns:ns1="http://schemas.microsoft.com/office/spreadsheetml/2014/revision" xmlns:r="http://schemas.openxmlformats.org/officeDocument/2006/relationships">
  <sheetPr>
    <pageSetUpPr fitToPage="1"/>
  </sheetPr>
  <sheetViews>
    <sheetView showGridLines="0" tabSelected="1" workbookViewId="0">
      <pane ySplit="8" topLeftCell="A9" activePane="bottomLeft" state="frozen"/>
      <selection pane="bottomLeft" activeCell="A26" sqref="A26:L26"/>
    </sheetView>
  </sheetViews>
  <sheetFormatPr defaultRowHeight="17"/>
  <cols>
    <col min="1" max="1" width="5" customWidth="1"/>
    <col min="2" max="2" width="7" customWidth="1"/>
    <col min="3" max="3" width="10" customWidth="1"/>
    <col min="4" max="4" width="20" customWidth="1"/>
    <col min="5" max="5" width="22" customWidth="1"/>
    <col min="6" max="6" width="30" customWidth="1"/>
    <col min="7" max="7" width="17" customWidth="1"/>
    <col min="8" max="8" width="6" customWidth="1"/>
    <col min="9" max="9" width="62" customWidth="1"/>
    <col min="10" max="10" width="8" customWidth="1"/>
    <col min="11" max="11" width="18" customWidth="1"/>
    <col min="12" max="12" width="34" customWidth="1"/>
  </cols>
  <sheetData>
    <row r="1" ht="13" customHeight="1">
      <c r="A1" s="20" t="s">
        <v>0</v>
      </c>
      <c r="B1" s="21"/>
      <c r="C1" s="21"/>
      <c r="D1" s="21"/>
      <c r="E1" s="21"/>
      <c r="F1" s="22"/>
      <c r="G1" s="1" t="s">
        <v>1</v>
      </c>
      <c r="H1" s="15"/>
      <c r="I1" s="16"/>
    </row>
    <row r="2" ht="13" customHeight="1">
      <c r="A2" s="23"/>
      <c r="B2" s="24"/>
      <c r="C2" s="24"/>
      <c r="D2" s="24"/>
      <c r="E2" s="24"/>
      <c r="F2" s="25"/>
      <c r="G2" s="1" t="s">
        <v>2</v>
      </c>
      <c r="H2" s="15" t="str">
        <v>MVP-UART (ppg_uart_adapter_v01)</v>
      </c>
      <c r="I2" s="16"/>
    </row>
    <row r="3" ht="13" customHeight="1">
      <c r="A3" s="23"/>
      <c r="B3" s="24"/>
      <c r="C3" s="24"/>
      <c r="D3" s="24"/>
      <c r="E3" s="24"/>
      <c r="F3" s="25"/>
      <c r="G3" s="1" t="s">
        <v>3</v>
      </c>
      <c r="H3" s="15"/>
      <c r="I3" s="16"/>
    </row>
    <row r="4" ht="13" customHeight="1">
      <c r="A4" s="23"/>
      <c r="B4" s="24"/>
      <c r="C4" s="24"/>
      <c r="D4" s="24"/>
      <c r="E4" s="24"/>
      <c r="F4" s="25"/>
      <c r="G4" s="1" t="s">
        <v>4</v>
      </c>
      <c r="H4" s="15" t="str">
        <v>2026-10-13</v>
      </c>
      <c r="I4" s="16"/>
    </row>
    <row r="5" ht="13" customHeight="1">
      <c r="A5" s="23"/>
      <c r="B5" s="24"/>
      <c r="C5" s="24"/>
      <c r="D5" s="24"/>
      <c r="E5" s="24"/>
      <c r="F5" s="25"/>
      <c r="G5" s="1" t="s">
        <v>5</v>
      </c>
      <c r="H5" s="15"/>
      <c r="I5" s="16"/>
    </row>
    <row r="6" ht="13" customHeight="1">
      <c r="A6" s="26"/>
      <c r="B6" s="27"/>
      <c r="C6" s="27"/>
      <c r="D6" s="27"/>
      <c r="E6" s="27"/>
      <c r="F6" s="28"/>
      <c r="G6" s="1" t="s">
        <v>6</v>
      </c>
      <c r="H6" s="17" t="n">
        <v>10</v>
      </c>
      <c r="I6" s="16"/>
    </row>
    <row r="8" ht="2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</row>
    <row r="9" ht="25" customHeight="1">
      <c r="A9" s="3" t="n">
        <v>1</v>
      </c>
      <c r="B9" s="3" t="str">
        <v>AUTO</v>
      </c>
      <c r="C9" s="3" t="str">
        <v>MLCC</v>
      </c>
      <c r="D9" s="4" t="str">
        <v>10uF/25V/1608</v>
      </c>
      <c r="E9" s="5" t="str"/>
      <c r="F9" s="5" t="str">
        <v>MLCC/25V/1608</v>
      </c>
      <c r="G9" s="3" t="str">
        <v>CAP-1608(0603)</v>
      </c>
      <c r="H9" s="3" t="n">
        <v>1</v>
      </c>
      <c r="I9" s="5" t="str">
        <v>C1</v>
      </c>
      <c r="J9" s="3" t="n">
        <f t="shared" ref="J9:J25" si="0">IF(OR(B9="DNP",B9="PCB"),0,H9*$H$6)</f>
        <v>10</v>
      </c>
      <c r="K9" s="5" t="str">
        <v>Any</v>
      </c>
      <c r="L9" s="5" t="str">
        <v>UART 신규 / MPN 미지정</v>
      </c>
    </row>
    <row r="10" ht="25" customHeight="1">
      <c r="A10" s="3" t="n">
        <v>2</v>
      </c>
      <c r="B10" s="3" t="str">
        <v>AUTO</v>
      </c>
      <c r="C10" s="3" t="str">
        <v>MLCC</v>
      </c>
      <c r="D10" s="4" t="str">
        <v>22uF/10V/1608</v>
      </c>
      <c r="E10" s="5" t="str">
        <v>C1608X5R1A226M080AC</v>
      </c>
      <c r="F10" s="5" t="str">
        <v>MLCC/X5R/10V/20%/1608</v>
      </c>
      <c r="G10" s="3" t="str">
        <v>CAP-1608(0603)</v>
      </c>
      <c r="H10" s="3" t="n">
        <v>4</v>
      </c>
      <c r="I10" s="5" t="str">
        <v>C2,C6,C7,C8</v>
      </c>
      <c r="J10" s="3" t="n">
        <f t="shared" si="0">IF(OR(B10="DNP",B10="PCB"),0,H10*$H$6)</f>
        <v>40</v>
      </c>
      <c r="K10" s="5" t="str">
        <v>TDK</v>
      </c>
      <c r="L10" s="5" t="str">
        <v>UART 신규</v>
      </c>
    </row>
    <row r="11" ht="25" customHeight="1">
      <c r="A11" s="3" t="n">
        <v>3</v>
      </c>
      <c r="B11" s="3" t="str">
        <v>AUTO</v>
      </c>
      <c r="C11" s="3" t="str">
        <v>MLCC</v>
      </c>
      <c r="D11" s="4" t="str">
        <v>0.1uF/25V/1608</v>
      </c>
      <c r="E11" s="5" t="str"/>
      <c r="F11" s="5" t="str">
        <v>MLCC/25V/1608</v>
      </c>
      <c r="G11" s="3" t="str">
        <v>CAP-1608(0603)</v>
      </c>
      <c r="H11" s="3" t="n">
        <v>3</v>
      </c>
      <c r="I11" s="5" t="str">
        <v>C3,C4,C5</v>
      </c>
      <c r="J11" s="3" t="n">
        <f t="shared" si="0">IF(OR(B11="DNP",B11="PCB"),0,H11*$H$6)</f>
        <v>30</v>
      </c>
      <c r="K11" s="5" t="str">
        <v>Any</v>
      </c>
      <c r="L11" s="5" t="str">
        <v>UART 신규 / MPN 미지정</v>
      </c>
    </row>
    <row r="12" ht="25" customHeight="1">
      <c r="A12" s="3" t="n">
        <v>4</v>
      </c>
      <c r="B12" s="3" t="str">
        <v>AUTO</v>
      </c>
      <c r="C12" s="3" t="str">
        <v>TVS</v>
      </c>
      <c r="D12" s="4" t="str">
        <v>CDSOT23-SM712</v>
      </c>
      <c r="E12" s="5" t="str">
        <v>CDSOT23-SM712</v>
      </c>
      <c r="F12" s="5" t="str">
        <v>RS-422 Cable ESD</v>
      </c>
      <c r="G12" s="3" t="str">
        <v>SOT-23</v>
      </c>
      <c r="H12" s="3" t="n">
        <v>2</v>
      </c>
      <c r="I12" s="5" t="str">
        <v>D1,D2</v>
      </c>
      <c r="J12" s="3" t="n">
        <f t="shared" si="0">IF(OR(B12="DNP",B12="PCB"),0,H12*$H$6)</f>
        <v>20</v>
      </c>
      <c r="K12" s="5" t="str">
        <v>Bourns</v>
      </c>
      <c r="L12" s="5" t="str">
        <v>UART 신규</v>
      </c>
    </row>
    <row r="13" ht="25" customHeight="1">
      <c r="A13" s="3" t="n">
        <v>5</v>
      </c>
      <c r="B13" s="3" t="str">
        <v>AUTO</v>
      </c>
      <c r="C13" s="3" t="str">
        <v>TVS</v>
      </c>
      <c r="D13" s="4" t="str">
        <v>ESD351DPYR</v>
      </c>
      <c r="E13" s="5" t="str">
        <v>ESD351DPYR</v>
      </c>
      <c r="F13" s="5" t="str">
        <v>ESD TVS/3.6V/1.8pF</v>
      </c>
      <c r="G13" s="3" t="str">
        <v>X1SON-2 DPY(1006)</v>
      </c>
      <c r="H13" s="3" t="n">
        <v>2</v>
      </c>
      <c r="I13" s="5" t="str">
        <v>D3,D4</v>
      </c>
      <c r="J13" s="3" t="n">
        <f t="shared" si="0">IF(OR(B13="DNP",B13="PCB"),0,H13*$H$6)</f>
        <v>20</v>
      </c>
      <c r="K13" s="5" t="str">
        <v>Texas Instruments</v>
      </c>
      <c r="L13" s="5" t="str">
        <v>PPG 공통: D6,D7,D8</v>
      </c>
    </row>
    <row r="14" ht="25" customHeight="1">
      <c r="A14" s="3" t="n">
        <v>6</v>
      </c>
      <c r="B14" s="3" t="str">
        <v>AUTO</v>
      </c>
      <c r="C14" s="3" t="str">
        <v>Bead</v>
      </c>
      <c r="D14" s="4" t="str">
        <v>BLM15PX601SN1D</v>
      </c>
      <c r="E14" s="5" t="str">
        <v>BLM15PX601SN1D</v>
      </c>
      <c r="F14" s="5" t="str">
        <v>BEAD/600ohm/0.9A/1005</v>
      </c>
      <c r="G14" s="3" t="str">
        <v>L1005</v>
      </c>
      <c r="H14" s="3" t="n">
        <v>1</v>
      </c>
      <c r="I14" s="5" t="str">
        <v>FB1</v>
      </c>
      <c r="J14" s="3" t="n">
        <f t="shared" si="0">IF(OR(B14="DNP",B14="PCB"),0,H14*$H$6)</f>
        <v>10</v>
      </c>
      <c r="K14" s="5" t="str">
        <v>Murata</v>
      </c>
      <c r="L14" s="5" t="str">
        <v>PPG 공통: FB1</v>
      </c>
    </row>
    <row r="15" ht="25" customHeight="1">
      <c r="A15" s="3" t="n">
        <v>7</v>
      </c>
      <c r="B15" s="3" t="str">
        <v>AUTO</v>
      </c>
      <c r="C15" s="3" t="str">
        <v>Chip-Res</v>
      </c>
      <c r="D15" s="4" t="str">
        <v>120/1%/1608</v>
      </c>
      <c r="E15" s="5" t="str"/>
      <c r="F15" s="5" t="str">
        <v>R/1%/1608</v>
      </c>
      <c r="G15" s="3" t="str">
        <v>RES-1608(0603)</v>
      </c>
      <c r="H15" s="3" t="n">
        <v>1</v>
      </c>
      <c r="I15" s="5" t="str">
        <v>R1</v>
      </c>
      <c r="J15" s="3" t="n">
        <f t="shared" si="0">IF(OR(B15="DNP",B15="PCB"),0,H15*$H$6)</f>
        <v>10</v>
      </c>
      <c r="K15" s="5" t="str">
        <v>Any</v>
      </c>
      <c r="L15" s="5" t="str">
        <v>UART 신규 / MPN 미지정</v>
      </c>
    </row>
    <row r="16" ht="25" customHeight="1">
      <c r="A16" s="3" t="n">
        <v>8</v>
      </c>
      <c r="B16" s="3" t="str">
        <v>AUTO</v>
      </c>
      <c r="C16" s="3" t="str">
        <v>Chip-Res</v>
      </c>
      <c r="D16" s="4" t="str">
        <v>22/1608</v>
      </c>
      <c r="E16" s="5" t="str"/>
      <c r="F16" s="5" t="str">
        <v>R/1608</v>
      </c>
      <c r="G16" s="3" t="str">
        <v>RES-1608(0603)</v>
      </c>
      <c r="H16" s="3" t="n">
        <v>4</v>
      </c>
      <c r="I16" s="5" t="str">
        <v>R2,R3,R4,R5</v>
      </c>
      <c r="J16" s="3" t="n">
        <f t="shared" si="0">IF(OR(B16="DNP",B16="PCB"),0,H16*$H$6)</f>
        <v>40</v>
      </c>
      <c r="K16" s="5" t="str">
        <v>Any</v>
      </c>
      <c r="L16" s="5" t="str">
        <v>UART 신규 / MPN 미지정</v>
      </c>
    </row>
    <row r="17" ht="25" customHeight="1">
      <c r="A17" s="3" t="n">
        <v>9</v>
      </c>
      <c r="B17" s="3" t="str">
        <v>AUTO</v>
      </c>
      <c r="C17" s="3" t="str">
        <v>Chip-Res</v>
      </c>
      <c r="D17" s="4" t="str">
        <v>10k/1608</v>
      </c>
      <c r="E17" s="5" t="str"/>
      <c r="F17" s="5" t="str">
        <v>R/1608</v>
      </c>
      <c r="G17" s="3" t="str">
        <v>RES-1608(0603)</v>
      </c>
      <c r="H17" s="3" t="n">
        <v>1</v>
      </c>
      <c r="I17" s="5" t="str">
        <v>R6</v>
      </c>
      <c r="J17" s="3" t="n">
        <f t="shared" si="0">IF(OR(B17="DNP",B17="PCB"),0,H17*$H$6)</f>
        <v>10</v>
      </c>
      <c r="K17" s="5" t="str">
        <v>Any</v>
      </c>
      <c r="L17" s="5" t="str">
        <v>UART 신규 / MPN 미지정</v>
      </c>
    </row>
    <row r="18" ht="25" customHeight="1">
      <c r="A18" s="3" t="n">
        <v>10</v>
      </c>
      <c r="B18" s="3" t="str">
        <v>AUTO</v>
      </c>
      <c r="C18" s="3" t="str">
        <v>Chip-Res</v>
      </c>
      <c r="D18" s="4" t="str">
        <v>100/1608</v>
      </c>
      <c r="E18" s="5" t="str"/>
      <c r="F18" s="5" t="str">
        <v>R/1608</v>
      </c>
      <c r="G18" s="3" t="str">
        <v>RES-1608(0603)</v>
      </c>
      <c r="H18" s="3" t="n">
        <v>2</v>
      </c>
      <c r="I18" s="5" t="str">
        <v>R7,R8</v>
      </c>
      <c r="J18" s="3" t="n">
        <f t="shared" si="0">IF(OR(B18="DNP",B18="PCB"),0,H18*$H$6)</f>
        <v>20</v>
      </c>
      <c r="K18" s="5" t="str">
        <v>Any</v>
      </c>
      <c r="L18" s="5" t="str">
        <v>UART 신규 / MPN 미지정</v>
      </c>
    </row>
    <row r="19" ht="25" customHeight="1">
      <c r="A19" s="3" t="n">
        <v>11</v>
      </c>
      <c r="B19" s="3" t="str">
        <v>AUTO</v>
      </c>
      <c r="C19" s="3" t="str">
        <v>Chip-Res</v>
      </c>
      <c r="D19" s="4" t="str">
        <v>1/3216</v>
      </c>
      <c r="E19" s="5" t="str"/>
      <c r="F19" s="5" t="str">
        <v>R/3216</v>
      </c>
      <c r="G19" s="3" t="str">
        <v>RES-3216(1206)</v>
      </c>
      <c r="H19" s="3" t="n">
        <v>1</v>
      </c>
      <c r="I19" s="5" t="str">
        <v>R9</v>
      </c>
      <c r="J19" s="3" t="n">
        <f t="shared" si="0">IF(OR(B19="DNP",B19="PCB"),0,H19*$H$6)</f>
        <v>10</v>
      </c>
      <c r="K19" s="5" t="str">
        <v>Any</v>
      </c>
      <c r="L19" s="5" t="str">
        <v>UART 신규 / MPN 미지정</v>
      </c>
    </row>
    <row r="20" ht="25" customHeight="1">
      <c r="A20" s="3" t="n">
        <v>12</v>
      </c>
      <c r="B20" s="3" t="str">
        <v>AUTO</v>
      </c>
      <c r="C20" s="3" t="str">
        <v>IC</v>
      </c>
      <c r="D20" s="4" t="str">
        <v>LD1117-3.3V</v>
      </c>
      <c r="E20" s="5" t="str">
        <v>LD1117S33TR</v>
      </c>
      <c r="F20" s="5" t="str">
        <v>LDO/9V IN/3.3V OUT</v>
      </c>
      <c r="G20" s="3" t="str">
        <v>SOT-223</v>
      </c>
      <c r="H20" s="3" t="n">
        <v>1</v>
      </c>
      <c r="I20" s="5" t="str">
        <v>U1</v>
      </c>
      <c r="J20" s="3" t="n">
        <f t="shared" si="0">IF(OR(B20="DNP",B20="PCB"),0,H20*$H$6)</f>
        <v>10</v>
      </c>
      <c r="K20" s="5" t="str">
        <v>STMicroelectronics</v>
      </c>
      <c r="L20" s="5" t="str">
        <v>UART 신규</v>
      </c>
    </row>
    <row r="21" ht="25" customHeight="1">
      <c r="A21" s="3" t="n">
        <v>13</v>
      </c>
      <c r="B21" s="3" t="str">
        <v>AUTO</v>
      </c>
      <c r="C21" s="3" t="str">
        <v>IC</v>
      </c>
      <c r="D21" s="4" t="str">
        <v>XR33194</v>
      </c>
      <c r="E21" s="5" t="str">
        <v>XR33194ESBTR</v>
      </c>
      <c r="F21" s="5" t="str">
        <v>RS-422/485 Driver</v>
      </c>
      <c r="G21" s="3" t="str">
        <v>TSOT23-6</v>
      </c>
      <c r="H21" s="3" t="n">
        <v>1</v>
      </c>
      <c r="I21" s="5" t="str">
        <v>U2</v>
      </c>
      <c r="J21" s="3" t="n">
        <f t="shared" si="0">IF(OR(B21="DNP",B21="PCB"),0,H21*$H$6)</f>
        <v>10</v>
      </c>
      <c r="K21" s="5" t="str">
        <v>MaxLinear</v>
      </c>
      <c r="L21" s="5" t="str">
        <v>PPG 공통: U3</v>
      </c>
    </row>
    <row r="22" ht="25" customHeight="1">
      <c r="A22" s="3" t="n">
        <v>14</v>
      </c>
      <c r="B22" s="3" t="str">
        <v>AUTO</v>
      </c>
      <c r="C22" s="3" t="str">
        <v>IC</v>
      </c>
      <c r="D22" s="4" t="str">
        <v>XR33183</v>
      </c>
      <c r="E22" s="5" t="str">
        <v>XR33183ESBTR</v>
      </c>
      <c r="F22" s="5" t="str">
        <v>RS-422/485 Receiver</v>
      </c>
      <c r="G22" s="3" t="str">
        <v>TSOT23-6</v>
      </c>
      <c r="H22" s="3" t="n">
        <v>1</v>
      </c>
      <c r="I22" s="5" t="str">
        <v>U3</v>
      </c>
      <c r="J22" s="3" t="n">
        <f t="shared" si="0">IF(OR(B22="DNP",B22="PCB"),0,H22*$H$6)</f>
        <v>10</v>
      </c>
      <c r="K22" s="5" t="str">
        <v>MaxLinear</v>
      </c>
      <c r="L22" s="5" t="str">
        <v>PPG 공통: U6</v>
      </c>
    </row>
    <row r="23" ht="13.5" customHeight="1">
      <c r="A23" s="3"/>
      <c r="B23" s="3"/>
      <c r="C23" s="3"/>
      <c r="D23" s="4"/>
      <c r="E23" s="5"/>
      <c r="F23" s="5"/>
      <c r="G23" s="3"/>
      <c r="H23" s="3"/>
      <c r="I23" s="5"/>
      <c r="J23" s="3">
        <f t="shared" si="0"/>
      </c>
      <c r="K23" s="5"/>
      <c r="L23" s="5"/>
    </row>
    <row r="24" ht="13.5" customHeight="1">
      <c r="A24" s="3"/>
      <c r="B24" s="3"/>
      <c r="C24" s="3"/>
      <c r="D24" s="4"/>
      <c r="E24" s="5"/>
      <c r="F24" s="5"/>
      <c r="G24" s="3"/>
      <c r="H24" s="3"/>
      <c r="I24" s="5"/>
      <c r="J24" s="3">
        <f t="shared" si="0"/>
      </c>
      <c r="K24" s="5"/>
      <c r="L24" s="5"/>
    </row>
    <row r="25" ht="13.5" customHeight="1">
      <c r="A25" s="3"/>
      <c r="B25" s="3"/>
      <c r="C25" s="3"/>
      <c r="D25" s="4"/>
      <c r="E25" s="5"/>
      <c r="F25" s="5"/>
      <c r="G25" s="3"/>
      <c r="H25" s="3"/>
      <c r="I25" s="5"/>
      <c r="J25" s="3">
        <f t="shared" si="0"/>
      </c>
      <c r="K25" s="5"/>
      <c r="L25" s="5"/>
    </row>
    <row r="26">
      <c r="A26" s="13" t="str">
        <v>PCB 패드·가공 홀 — 부품 없음, 필요수량 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ht="22" customHeight="1">
      <c r="A27" s="3" t="n">
        <v>15</v>
      </c>
      <c r="B27" s="3" t="str">
        <v>PCB</v>
      </c>
      <c r="C27" s="3" t="str">
        <v>PCB Pad</v>
      </c>
      <c r="D27" s="4" t="str">
        <v>9V INPUT</v>
      </c>
      <c r="E27" s="5" t="str"/>
      <c r="F27" s="5" t="str">
        <v>Cable Pad 1x02 (부품 없음)</v>
      </c>
      <c r="G27" s="3" t="str">
        <v>PCB</v>
      </c>
      <c r="H27" s="3" t="n">
        <v>1</v>
      </c>
      <c r="I27" s="5" t="str">
        <v>J1</v>
      </c>
      <c r="J27" s="3" t="n">
        <f t="shared" ref="J27:J37" si="1">IF(OR(B27="DNP",B27="PCB"),0,H27*$H$6)</f>
        <v>0</v>
      </c>
      <c r="K27" s="5" t="str"/>
      <c r="L27" s="5" t="str">
        <v>구매 제외</v>
      </c>
    </row>
    <row r="28" ht="22" customHeight="1">
      <c r="A28" s="3" t="n">
        <v>16</v>
      </c>
      <c r="B28" s="3" t="str">
        <v>PCB</v>
      </c>
      <c r="C28" s="3" t="str">
        <v>PCB Pad</v>
      </c>
      <c r="D28" s="4" t="str">
        <v>PPG / 6 WIRES</v>
      </c>
      <c r="E28" s="5" t="str"/>
      <c r="F28" s="5" t="str">
        <v>Cable Pad 1x06 (부품 없음)</v>
      </c>
      <c r="G28" s="3" t="str">
        <v>PCB</v>
      </c>
      <c r="H28" s="3" t="n">
        <v>1</v>
      </c>
      <c r="I28" s="5" t="str">
        <v>J2</v>
      </c>
      <c r="J28" s="3" t="n">
        <f t="shared" si="1">IF(OR(B28="DNP",B28="PCB"),0,H28*$H$6)</f>
        <v>0</v>
      </c>
      <c r="K28" s="5" t="str"/>
      <c r="L28" s="5" t="str">
        <v>구매 제외</v>
      </c>
    </row>
    <row r="29" ht="22" customHeight="1">
      <c r="A29" s="3" t="n">
        <v>17</v>
      </c>
      <c r="B29" s="3" t="str">
        <v>PCB</v>
      </c>
      <c r="C29" s="3" t="str">
        <v>PCB Pad</v>
      </c>
      <c r="D29" s="4" t="str">
        <v>UART / 3.3V OUT</v>
      </c>
      <c r="E29" s="5" t="str"/>
      <c r="F29" s="5" t="str">
        <v>Cable Pad 1x04 (부품 없음)</v>
      </c>
      <c r="G29" s="3" t="str">
        <v>PCB</v>
      </c>
      <c r="H29" s="3" t="n">
        <v>1</v>
      </c>
      <c r="I29" s="5" t="str">
        <v>J3</v>
      </c>
      <c r="J29" s="3" t="n">
        <f t="shared" si="1">IF(OR(B29="DNP",B29="PCB"),0,H29*$H$6)</f>
        <v>0</v>
      </c>
      <c r="K29" s="5" t="str"/>
      <c r="L29" s="5" t="str">
        <v>구매 제외</v>
      </c>
    </row>
    <row r="30" ht="22" customHeight="1">
      <c r="A30" s="3" t="n">
        <v>18</v>
      </c>
      <c r="B30" s="3" t="str">
        <v>PCB</v>
      </c>
      <c r="C30" s="3" t="str">
        <v>NPTH</v>
      </c>
      <c r="D30" s="4" t="str">
        <v>Ø3.0 mm NPTH</v>
      </c>
      <c r="E30" s="5" t="str"/>
      <c r="F30" s="5" t="str">
        <v>NPTH Ø3.0 / 여유 Ø11</v>
      </c>
      <c r="G30" s="3" t="str">
        <v>PCB</v>
      </c>
      <c r="H30" s="3" t="n">
        <v>1</v>
      </c>
      <c r="I30" s="5" t="str">
        <v>H1</v>
      </c>
      <c r="J30" s="3" t="n">
        <f t="shared" si="1">IF(OR(B30="DNP",B30="PCB"),0,H30*$H$6)</f>
        <v>0</v>
      </c>
      <c r="K30" s="5" t="str"/>
      <c r="L30" s="5" t="str">
        <v>구매 제외</v>
      </c>
    </row>
    <row r="31" ht="22" customHeight="1">
      <c r="A31" s="3" t="n">
        <v>19</v>
      </c>
      <c r="B31" s="3" t="str">
        <v>PCB</v>
      </c>
      <c r="C31" s="3" t="str">
        <v>NPTH</v>
      </c>
      <c r="D31" s="4" t="str">
        <v>Ø3.0 mm NPTH</v>
      </c>
      <c r="E31" s="5" t="str"/>
      <c r="F31" s="5" t="str">
        <v>NPTH Ø3.0 / 여유 Ø11</v>
      </c>
      <c r="G31" s="3" t="str">
        <v>PCB</v>
      </c>
      <c r="H31" s="3" t="n">
        <v>1</v>
      </c>
      <c r="I31" s="5" t="str">
        <v>H2</v>
      </c>
      <c r="J31" s="3" t="n">
        <f t="shared" si="1">IF(OR(B31="DNP",B31="PCB"),0,H31*$H$6)</f>
        <v>0</v>
      </c>
      <c r="K31" s="5" t="str"/>
      <c r="L31" s="5" t="str">
        <v>구매 제외</v>
      </c>
    </row>
    <row r="32" ht="22" customHeight="1">
      <c r="A32" s="3" t="n">
        <v>20</v>
      </c>
      <c r="B32" s="3" t="str">
        <v>PCB</v>
      </c>
      <c r="C32" s="3" t="str">
        <v>NPTH</v>
      </c>
      <c r="D32" s="4" t="str">
        <v>Ø3.0 mm NPTH</v>
      </c>
      <c r="E32" s="5" t="str"/>
      <c r="F32" s="5" t="str">
        <v>NPTH Ø3.0 / 여유 Ø11</v>
      </c>
      <c r="G32" s="3" t="str">
        <v>PCB</v>
      </c>
      <c r="H32" s="3" t="n">
        <v>1</v>
      </c>
      <c r="I32" s="5" t="str">
        <v>H3</v>
      </c>
      <c r="J32" s="3" t="n">
        <f t="shared" si="1">IF(OR(B32="DNP",B32="PCB"),0,H32*$H$6)</f>
        <v>0</v>
      </c>
      <c r="K32" s="5" t="str"/>
      <c r="L32" s="5" t="str">
        <v>구매 제외</v>
      </c>
    </row>
    <row r="33" ht="22" customHeight="1">
      <c r="A33" s="3" t="n">
        <v>21</v>
      </c>
      <c r="B33" s="3" t="str">
        <v>PCB</v>
      </c>
      <c r="C33" s="3" t="str">
        <v>NPTH</v>
      </c>
      <c r="D33" s="4" t="str">
        <v>Ø3.0 mm NPTH</v>
      </c>
      <c r="E33" s="5" t="str"/>
      <c r="F33" s="5" t="str">
        <v>NPTH Ø3.0 / 여유 Ø11</v>
      </c>
      <c r="G33" s="3" t="str">
        <v>PCB</v>
      </c>
      <c r="H33" s="3" t="n">
        <v>1</v>
      </c>
      <c r="I33" s="5" t="str">
        <v>H4</v>
      </c>
      <c r="J33" s="3" t="n">
        <f t="shared" si="1">IF(OR(B33="DNP",B33="PCB"),0,H33*$H$6)</f>
        <v>0</v>
      </c>
      <c r="K33" s="5" t="str"/>
      <c r="L33" s="5" t="str">
        <v>구매 제외</v>
      </c>
    </row>
    <row r="34" ht="13.5" customHeight="1">
      <c r="A34" s="3"/>
      <c r="B34" s="3"/>
      <c r="C34" s="3"/>
      <c r="D34" s="4"/>
      <c r="E34" s="5"/>
      <c r="F34" s="5"/>
      <c r="G34" s="3"/>
      <c r="H34" s="3"/>
      <c r="I34" s="5"/>
      <c r="J34" s="3">
        <f t="shared" si="1"/>
      </c>
      <c r="K34" s="5"/>
      <c r="L34" s="5"/>
    </row>
    <row r="35" ht="13.5" customHeight="1">
      <c r="A35" s="3"/>
      <c r="B35" s="3"/>
      <c r="C35" s="3"/>
      <c r="D35" s="4"/>
      <c r="E35" s="5"/>
      <c r="F35" s="5"/>
      <c r="G35" s="3"/>
      <c r="H35" s="3"/>
      <c r="I35" s="5"/>
      <c r="J35" s="3">
        <f t="shared" si="1"/>
      </c>
      <c r="K35" s="5"/>
      <c r="L35" s="5"/>
    </row>
    <row r="36" ht="13.5" customHeight="1">
      <c r="A36" s="3"/>
      <c r="B36" s="3"/>
      <c r="C36" s="3"/>
      <c r="D36" s="4"/>
      <c r="E36" s="5"/>
      <c r="F36" s="5"/>
      <c r="G36" s="3"/>
      <c r="H36" s="3"/>
      <c r="I36" s="5"/>
      <c r="J36" s="3">
        <f t="shared" si="1"/>
      </c>
      <c r="K36" s="5"/>
      <c r="L36" s="5"/>
    </row>
    <row r="37" ht="13.5" customHeight="1">
      <c r="A37" s="3"/>
      <c r="B37" s="3"/>
      <c r="C37" s="3"/>
      <c r="D37" s="4"/>
      <c r="E37" s="5"/>
      <c r="F37" s="5"/>
      <c r="G37" s="3"/>
      <c r="H37" s="3"/>
      <c r="I37" s="5"/>
      <c r="J37" s="3">
        <f t="shared" si="1"/>
      </c>
      <c r="K37" s="5"/>
      <c r="L37" s="5"/>
    </row>
    <row r="38">
      <c r="A38" s="18" t="s">
        <v>19</v>
      </c>
      <c r="B38" s="19"/>
      <c r="C38" s="19"/>
      <c r="D38" s="19"/>
      <c r="E38" s="19"/>
      <c r="F38" s="19"/>
      <c r="G38" s="19"/>
      <c r="H38" s="2" t="n">
        <f>SUMIFS(H9:H37,B9:B37,"&lt;&gt;DNP",B9:B37,"&lt;&gt;PCB")</f>
        <v>25</v>
      </c>
      <c r="I38" s="7" t="str">
        <f>COUNTIF(B9:B37,"AUTO")&amp;" 품목"</f>
        <v>14 품목</v>
      </c>
      <c r="J38" s="2" t="n">
        <f>SUM(J9:J37)</f>
        <v>250</v>
      </c>
      <c r="K38" s="6"/>
      <c r="L38" s="6"/>
    </row>
  </sheetData>
  <autoFilter ref="A8:L37" ns1:uid="{00000000-0009-0000-0000-000000000000}"/>
  <mergeCells>
    <mergeCell ref="A26:L26"/>
    <mergeCell ref="H2:I2"/>
    <mergeCell ref="H6:I6"/>
    <mergeCell ref="H1:I1"/>
    <mergeCell ref="A38:G38"/>
    <mergeCell ref="H5:I5"/>
    <mergeCell ref="H4:I4"/>
    <mergeCell ref="A1:F6"/>
    <mergeCell ref="H3:I3"/>
  </mergeCells>
  <pageMargins left="0.3" right="0.3" top="0.4" bottom="0.4" header="0.5" footer="0.5"/>
  <pageSetup paperSize="8" fitToHeight="0" orientation="landscape"/>
  <headerFooter>
    <oddFooter>&amp;C&amp;P / &amp;N</oddFooter>
  </headerFooter>
  <legacyDrawing r:id="Rc4279b2c1dcf42a4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7"/>
  <cols>
    <col min="1" max="1" width="22" customWidth="1"/>
    <col min="2" max="2" width="100" customWidth="1"/>
  </cols>
  <sheetData>
    <row r="1">
      <c r="A1" s="8" t="s">
        <v>20</v>
      </c>
    </row>
    <row r="2">
      <c r="A2" s="9" t="str">
        <v>출처</v>
      </c>
      <c r="B2" s="10" t="str">
        <v>ppg_uart_adapter_v01.kicad_sch / ppg_uart_adapter_v01.kicad_pcb</v>
      </c>
    </row>
    <row r="3">
      <c r="A3" s="9" t="str">
        <v>비교 기준</v>
      </c>
      <c r="B3" s="10" t="str">
        <v>MVP-PPG_BOM_20261006.xlsx (2026-10-06)</v>
      </c>
    </row>
    <row r="4">
      <c r="A4" s="9" t="str">
        <v>추출 방법</v>
      </c>
      <c r="B4" s="10" t="str">
        <v>KiCad 10 회로도 netlist 및 PCB 참조 대조 후 값·규격·MPN 기준 그룹화</v>
      </c>
    </row>
    <row r="5">
      <c r="A5" s="9" t="str">
        <v>추출일</v>
      </c>
      <c r="B5" s="10" t="str">
        <v>2026-10-13</v>
      </c>
    </row>
    <row r="6">
      <c r="A6" s="9" t="str">
        <v>BOM 포함 참조 수</v>
      </c>
      <c r="B6" s="10" t="n">
        <v>32</v>
      </c>
    </row>
    <row r="7">
      <c r="A7" s="9" t="str">
        <v>실장 참조 수</v>
      </c>
      <c r="B7" s="10" t="n">
        <v>25</v>
      </c>
    </row>
    <row r="8">
      <c r="A8" s="9" t="str">
        <v>DNP 참조 수</v>
      </c>
      <c r="B8" s="10" t="n">
        <v>0</v>
      </c>
    </row>
    <row r="9">
      <c r="A9" s="9" t="str">
        <v>PCB 패드 참조 수</v>
      </c>
      <c r="B9" s="10" t="n">
        <v>3</v>
      </c>
    </row>
    <row r="10">
      <c r="A10" s="9" t="str">
        <v>NPTH 홀 참조 수</v>
      </c>
      <c r="B10" s="10" t="n">
        <v>4</v>
      </c>
    </row>
    <row r="11">
      <c r="A11" s="9" t="str">
        <v>미지정 규격</v>
      </c>
      <c r="B11" s="10" t="str">
        <v>원본에 없는 MPN·정격·공차·유전체는 임의로 보충하지 않음</v>
      </c>
    </row>
    <row r="12">
      <c r="A12" s="9" t="str">
        <v>Vendor "Any"</v>
      </c>
      <c r="B12" s="10" t="str">
        <v>제조사·품번이 미지정인 MLCC/칩저항. 발주 전 제조사·품번 확정 필요</v>
      </c>
    </row>
    <row r="13">
      <c r="A13" s="9" t="str">
        <v>필요수량</v>
      </c>
      <c r="B13" s="10" t="str">
        <v>BOM H6(수량 EA) × Q'TY. UART 추가 실소요량이며 DNP/PCB 행은 0</v>
      </c>
    </row>
    <row r="15">
      <c r="A15" s="8" t="s">
        <v>21</v>
      </c>
    </row>
    <row r="16">
      <c r="A16" s="11" t="s">
        <v>22</v>
      </c>
      <c r="B16" s="11" t="s">
        <v>23</v>
      </c>
    </row>
    <row r="17" ht="25" customHeight="1">
      <c r="A17" s="12" t="str">
        <v>C1</v>
      </c>
      <c r="B17" s="12" t="str">
        <v>10uF/25V/1608: 제조사·MPN·공차·유전체 미지정</v>
      </c>
    </row>
    <row r="18" ht="25" customHeight="1">
      <c r="A18" s="12" t="str">
        <v>C3,C4,C5</v>
      </c>
      <c r="B18" s="12" t="str">
        <v>0.1uF/25V/1608: 제조사·MPN·공차·유전체 미지정</v>
      </c>
    </row>
    <row r="19" ht="25" customHeight="1">
      <c r="A19" s="12" t="str">
        <v>R1</v>
      </c>
      <c r="B19" s="12" t="str">
        <v>120/1%/1608: 제조사·MPN·전력정격 미지정</v>
      </c>
    </row>
    <row r="20" ht="25" customHeight="1">
      <c r="A20" s="12" t="str">
        <v>R2,R3,R4,R5</v>
      </c>
      <c r="B20" s="12" t="str">
        <v>22/1608: 제조사·MPN·공차·전력정격 미지정</v>
      </c>
    </row>
    <row r="21" ht="25" customHeight="1">
      <c r="A21" s="12" t="str">
        <v>R6</v>
      </c>
      <c r="B21" s="12" t="str">
        <v>10k/1608: 제조사·MPN·공차·전력정격 미지정</v>
      </c>
    </row>
    <row r="22" ht="25" customHeight="1">
      <c r="A22" s="12" t="str">
        <v>R7,R8</v>
      </c>
      <c r="B22" s="12" t="str">
        <v>100/1608: 제조사·MPN·공차·전력정격 미지정</v>
      </c>
    </row>
    <row r="23" ht="25" customHeight="1">
      <c r="A23" s="12" t="str">
        <v>R9</v>
      </c>
      <c r="B23" s="12" t="str">
        <v>1/3216: 제조사·MPN·공차·전력정격 미지정. 출력 MLCC 분기 ESR용</v>
      </c>
    </row>
    <row r="24" ht="25" customHeight="1">
      <c r="A24" s="12" t="str">
        <v>공통 / 신규</v>
      </c>
      <c r="B24" s="12" t="str">
        <v>PPG 공통 4종(5개/보드), UART 신규 10종(20개/보드). 품번과 패키지 기준</v>
      </c>
    </row>
    <row r="25" ht="25" customHeight="1">
      <c r="A25" s="12" t="str">
        <v>추가 수량</v>
      </c>
      <c r="B25" s="12" t="str">
        <f>"UART "&amp;BOM!H6&amp;"대 기준 "&amp;BOM!J38&amp;"개. 기존 PPG 수량을 차감하지 않으며 재고·실장 여유분 미반영"</f>
        <v>UART 10대 기준 250개. 기존 PPG 수량을 차감하지 않으며 재고·실장 여유분 미반영</v>
      </c>
    </row>
    <row r="26" ht="25" customHeight="1">
      <c r="A26" s="12" t="str">
        <v>크기 표기</v>
      </c>
      <c r="B26" s="12" t="str">
        <v>1608·3216·1005는 미터 규격. PACKAGE 괄호는 인치 규격이며 1006은 1.0 × 0.6 mm</v>
      </c>
    </row>
  </sheetData>
  <pageMargins left="0.75" right="0.75" top="1" bottom="1" header="0.5" footer="0.5"/>
</worksheet>
</file>