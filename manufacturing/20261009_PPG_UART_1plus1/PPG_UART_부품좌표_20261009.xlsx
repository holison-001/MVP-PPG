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66270b42d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배열좌표" sheetId="1" r:id="R76442a54430d4c3f"/>
    <x:sheet xmlns:r="http://schemas.openxmlformats.org/officeDocument/2006/relationships" name="PPG원본" sheetId="2" r:id="R467904081bfd4fcf"/>
    <x:sheet xmlns:r="http://schemas.openxmlformats.org/officeDocument/2006/relationships" name="UART원본" sheetId="3" r:id="R29c289de9ab2487c"/>
    <x:sheet xmlns:r="http://schemas.openxmlformats.org/officeDocument/2006/relationships" name="좌표안내" sheetId="4" r:id="Rc7454dca5bce4b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"/>
    <x:numFmt numFmtId="202" formatCode="0"/>
  </x:numFmts>
  <x:fonts count="6">
    <x:font>
      <x:sz val="11"/>
      <x:name val="Carlito"/>
    </x:font>
    <x:font>
      <x:sz val="10"/>
      <x:color rgb="FF202A34"/>
      <x:name val="Arial"/>
    </x:font>
    <x:font>
      <x:b/>
      <x:sz val="14"/>
      <x:color rgb="FF264A69"/>
      <x:name val="Arial"/>
    </x:font>
    <x:font>
      <x:i/>
      <x:sz val="10"/>
      <x:color rgb="FF5F6B78"/>
      <x:name val="Arial"/>
    </x:font>
    <x:font>
      <x:b/>
      <x:sz val="10"/>
      <x:color rgb="FFFFFFFF"/>
      <x:name val="Arial"/>
    </x:font>
    <x:font>
      <x:b/>
      <x:sz val="10"/>
      <x:color rgb="FF264A6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1F5F8"/>
      </x:patternFill>
    </x:fill>
    <x:fill>
      <x:patternFill patternType="solid">
        <x:fgColor rgb="FF264A69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A9BBCB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0fef964ba4262" /><Relationship Type="http://schemas.openxmlformats.org/officeDocument/2006/relationships/theme" Target="/xl/theme/theme1.xml" Id="R006cfffaa5c242cc" /><Relationship Type="http://schemas.openxmlformats.org/officeDocument/2006/relationships/sharedStrings" Target="/xl/sharedStrings.xml" Id="R05bb0cd811d44d03" /><Relationship Type="http://schemas.openxmlformats.org/officeDocument/2006/relationships/worksheet" Target="/xl/worksheets/sheet1.xml" Id="R76442a54430d4c3f" /><Relationship Type="http://schemas.openxmlformats.org/officeDocument/2006/relationships/worksheet" Target="/xl/worksheets/sheet2.xml" Id="R467904081bfd4fcf" /><Relationship Type="http://schemas.openxmlformats.org/officeDocument/2006/relationships/worksheet" Target="/xl/worksheets/sheet3.xml" Id="R29c289de9ab2487c" /><Relationship Type="http://schemas.openxmlformats.org/officeDocument/2006/relationships/worksheet" Target="/xl/worksheets/sheet4.xml" Id="Rc7454dca5bce4b06" /></Relationships>
</file>

<file path=xl/tables/table1.xml><?xml version="1.0" encoding="utf-8"?>
<x:table xmlns:x="http://schemas.openxmlformats.org/spreadsheetml/2006/main" id="3" name="ArrayCoordinates" displayName="ArrayCoordinates" ref="A7:P81" headerRowCount="1" totalsRowCount="0" totalsRowShown="0">
  <x:autoFilter ref="A7:P81"/>
  <x:tableColumns count="16">
    <x:tableColumn id="1" name="배열 ID"/>
    <x:tableColumn id="2" name="보드"/>
    <x:tableColumn id="3" name="Ref"/>
    <x:tableColumn id="4" name="부품 값"/>
    <x:tableColumn id="5" name="면"/>
    <x:tableColumn id="6" name="구분"/>
    <x:tableColumn id="7" name="SMT 대상"/>
    <x:tableColumn id="8" name="배열 X (mm)"/>
    <x:tableColumn id="9" name="배열 Y (mm)"/>
    <x:tableColumn id="10" name="회전 (°)"/>
    <x:tableColumn id="11" name="단품 X (mm)"/>
    <x:tableColumn id="12" name="단품 Y (mm)"/>
    <x:tableColumn id="13" name="풋프린트"/>
    <x:tableColumn id="14" name="원본 POS 포함"/>
    <x:tableColumn id="15" name="DNP"/>
    <x:tableColumn id="16" name="POS 제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PGSource" displayName="PPGSource" ref="A7:R49" headerRowCount="1" totalsRowCount="0" totalsRowShown="0">
  <x:autoFilter ref="A7:R49"/>
  <x:tableColumns count="18">
    <x:tableColumn id="1" name="Ref"/>
    <x:tableColumn id="2" name="부품 값"/>
    <x:tableColumn id="3" name="면"/>
    <x:tableColumn id="4" name="원본 X (mm)"/>
    <x:tableColumn id="5" name="원본 Y (mm)"/>
    <x:tableColumn id="6" name="원본 각도 (°)"/>
    <x:tableColumn id="7" name="POS 각도 (°)"/>
    <x:tableColumn id="8" name="구분"/>
    <x:tableColumn id="9" name="SMT 대상"/>
    <x:tableColumn id="10" name="SMD 속성"/>
    <x:tableColumn id="11" name="POS 제외"/>
    <x:tableColumn id="12" name="DNP"/>
    <x:tableColumn id="13" name="BOM 제외"/>
    <x:tableColumn id="14" name="핀 1 X (mm)"/>
    <x:tableColumn id="15" name="핀 1 Y (mm)"/>
    <x:tableColumn id="16" name="풋프린트"/>
    <x:tableColumn id="17" name="UUID"/>
    <x:tableColumn id="18" name="원본 속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UARTSource" displayName="UARTSource" ref="A7:R39" headerRowCount="1" totalsRowCount="0" totalsRowShown="0">
  <x:autoFilter ref="A7:R39"/>
  <x:tableColumns count="18">
    <x:tableColumn id="1" name="Ref"/>
    <x:tableColumn id="2" name="부품 값"/>
    <x:tableColumn id="3" name="면"/>
    <x:tableColumn id="4" name="원본 X (mm)"/>
    <x:tableColumn id="5" name="원본 Y (mm)"/>
    <x:tableColumn id="6" name="원본 각도 (°)"/>
    <x:tableColumn id="7" name="POS 각도 (°)"/>
    <x:tableColumn id="8" name="구분"/>
    <x:tableColumn id="9" name="SMT 대상"/>
    <x:tableColumn id="10" name="SMD 속성"/>
    <x:tableColumn id="11" name="POS 제외"/>
    <x:tableColumn id="12" name="DNP"/>
    <x:tableColumn id="13" name="BOM 제외"/>
    <x:tableColumn id="14" name="핀 1 X (mm)"/>
    <x:tableColumn id="15" name="핀 1 Y (mm)"/>
    <x:tableColumn id="16" name="풋프린트"/>
    <x:tableColumn id="17" name="UUID"/>
    <x:tableColumn id="18" name="원본 속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44b969607c4f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ddac190e3a46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eeaf8ff9ad4d15" /></Relationships>
</file>

<file path=xl/worksheets/sheet1.xml><?xml version="1.0" encoding="utf-8"?>
<x:worksheet xmlns:x="http://schemas.openxmlformats.org/spreadsheetml/2006/main">
  <x:sheetPr>
    <x:tabColor rgb="FF264A69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9" hidden="0" customWidth="1"/>
    <x:col min="4" max="4" width="25" hidden="0" customWidth="1"/>
    <x:col min="5" max="5" width="10" hidden="0" customWidth="1"/>
    <x:col min="6" max="6" width="19" hidden="0" customWidth="1"/>
    <x:col min="7" max="7" width="12" hidden="0" customWidth="1"/>
    <x:col min="8" max="8" width="15" hidden="0" customWidth="1"/>
    <x:col min="9" max="9" width="15" hidden="0" customWidth="1"/>
    <x:col min="10" max="10" width="12" hidden="0" customWidth="1"/>
    <x:col min="11" max="11" width="15" hidden="0" customWidth="1"/>
    <x:col min="12" max="12" width="15" hidden="0" customWidth="1"/>
    <x:col min="13" max="13" width="65" hidden="0" customWidth="1"/>
    <x:col min="14" max="14" width="16" hidden="0" customWidth="1"/>
    <x:col min="15" max="15" width="10" hidden="0" customWidth="1"/>
    <x:col min="16" max="16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3" t="str">
        <x:v>PPG 1개 + UART 1개 부품 좌표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2" customHeight="1">
      <x:c r="A4" s="5" t="str">
        <x:v>74개 전체 기록 / SMT 대상 56개 / mm / Top 시점 X 우측 +, Y 위쪽 + / Bottom 미러 미적용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2" customHeight="1">
      <x:c r="A5" s="2" t="str">
        <x:v>배열 원점은 좌하단입니다. 좌표는 풋프린트 기준점이며 원점·각도·SMT 구분은 좌표안내를 확인하십시오.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34" customHeight="1">
      <x:c r="A7" s="15" t="str">
        <x:v>배열 ID</x:v>
      </x:c>
      <x:c r="B7" s="16" t="str">
        <x:v>보드</x:v>
      </x:c>
      <x:c r="C7" s="16" t="str">
        <x:v>Ref</x:v>
      </x:c>
      <x:c r="D7" s="16" t="str">
        <x:v>부품 값</x:v>
      </x:c>
      <x:c r="E7" s="16" t="str">
        <x:v>면</x:v>
      </x:c>
      <x:c r="F7" s="16" t="str">
        <x:v>구분</x:v>
      </x:c>
      <x:c r="G7" s="16" t="str">
        <x:v>SMT 대상</x:v>
      </x:c>
      <x:c r="H7" s="16" t="str">
        <x:v>배열 X (mm)</x:v>
      </x:c>
      <x:c r="I7" s="16" t="str">
        <x:v>배열 Y (mm)</x:v>
      </x:c>
      <x:c r="J7" s="16" t="str">
        <x:v>회전 (°)</x:v>
      </x:c>
      <x:c r="K7" s="16" t="str">
        <x:v>단품 X (mm)</x:v>
      </x:c>
      <x:c r="L7" s="16" t="str">
        <x:v>단품 Y (mm)</x:v>
      </x:c>
      <x:c r="M7" s="16" t="str">
        <x:v>풋프린트</x:v>
      </x:c>
      <x:c r="N7" s="16" t="str">
        <x:v>원본 POS 포함</x:v>
      </x:c>
      <x:c r="O7" s="16" t="str">
        <x:v>DNP</x:v>
      </x:c>
      <x:c r="P7" s="17" t="str">
        <x:v>POS 제외</x:v>
      </x:c>
    </x:row>
    <x:row r="8" ht="22" customHeight="1">
      <x:c r="A8" s="6" t="str">
        <x:v>PPG_C1</x:v>
      </x:c>
      <x:c r="B8" s="6" t="str">
        <x:v>PPG</x:v>
      </x:c>
      <x:c r="C8" s="6" t="str">
        <x:v>C1</x:v>
      </x:c>
      <x:c r="D8" s="6" t="str">
        <x:v>10 µF</x:v>
      </x:c>
      <x:c r="E8" s="6" t="str">
        <x:v>Bottom</x:v>
      </x:c>
      <x:c r="F8" s="6" t="str">
        <x:v>실장부품</x:v>
      </x:c>
      <x:c r="G8" s="22" t="str">
        <x:v>예</x:v>
      </x:c>
      <x:c r="H8" s="18" t="n">
        <x:f>K8+'좌표안내'!$D$6</x:f>
        <x:v>67.85</x:v>
      </x:c>
      <x:c r="I8" s="18" t="n">
        <x:f>L8+'좌표안내'!$E$6</x:f>
        <x:v>16</x:v>
      </x:c>
      <x:c r="J8" s="20" t="n">
        <x:v>0</x:v>
      </x:c>
      <x:c r="K8" s="18" t="n">
        <x:f>'PPG원본'!D8-'좌표안내'!$B$6</x:f>
        <x:v>1.1000000000000014</x:v>
      </x:c>
      <x:c r="L8" s="18" t="n">
        <x:f>'좌표안내'!$C$6-'PPG원본'!E8</x:f>
        <x:v>-1.5</x:v>
      </x:c>
      <x:c r="M8" s="6" t="str">
        <x:v>Capacitor_SMD:C_0402_1005Metric</x:v>
      </x:c>
      <x:c r="N8" s="22" t="str">
        <x:v>예</x:v>
      </x:c>
      <x:c r="O8" s="22" t="str">
        <x:v>아니오</x:v>
      </x:c>
      <x:c r="P8" s="22" t="str">
        <x:v>아니오</x:v>
      </x:c>
    </x:row>
    <x:row r="9" ht="22" customHeight="1">
      <x:c r="A9" s="2" t="str">
        <x:v>PPG_C4</x:v>
      </x:c>
      <x:c r="B9" s="2" t="str">
        <x:v>PPG</x:v>
      </x:c>
      <x:c r="C9" s="2" t="str">
        <x:v>C4</x:v>
      </x:c>
      <x:c r="D9" s="2" t="str">
        <x:v>1 µF</x:v>
      </x:c>
      <x:c r="E9" s="2" t="str">
        <x:v>Bottom</x:v>
      </x:c>
      <x:c r="F9" s="2" t="str">
        <x:v>실장부품</x:v>
      </x:c>
      <x:c r="G9" s="23" t="str">
        <x:v>예</x:v>
      </x:c>
      <x:c r="H9" s="19" t="n">
        <x:f>K9+'좌표안내'!$D$6</x:f>
        <x:v>67.15</x:v>
      </x:c>
      <x:c r="I9" s="19" t="n">
        <x:f>L9+'좌표안내'!$E$6</x:f>
        <x:v>19.4</x:v>
      </x:c>
      <x:c r="J9" s="21" t="n">
        <x:v>0</x:v>
      </x:c>
      <x:c r="K9" s="19" t="n">
        <x:f>'PPG원본'!D9-'좌표안내'!$B$6</x:f>
        <x:v>0.3999999999999986</x:v>
      </x:c>
      <x:c r="L9" s="19" t="n">
        <x:f>'좌표안내'!$C$6-'PPG원본'!E9</x:f>
        <x:v>1.9000000000000004</x:v>
      </x:c>
      <x:c r="M9" s="2" t="str">
        <x:v>Capacitor_SMD:C_0201_0603Metric</x:v>
      </x:c>
      <x:c r="N9" s="23" t="str">
        <x:v>예</x:v>
      </x:c>
      <x:c r="O9" s="23" t="str">
        <x:v>아니오</x:v>
      </x:c>
      <x:c r="P9" s="23" t="str">
        <x:v>아니오</x:v>
      </x:c>
    </x:row>
    <x:row r="10" ht="22" customHeight="1">
      <x:c r="A10" s="6" t="str">
        <x:v>PPG_C5</x:v>
      </x:c>
      <x:c r="B10" s="6" t="str">
        <x:v>PPG</x:v>
      </x:c>
      <x:c r="C10" s="6" t="str">
        <x:v>C5</x:v>
      </x:c>
      <x:c r="D10" s="6" t="str">
        <x:v>1 µF</x:v>
      </x:c>
      <x:c r="E10" s="6" t="str">
        <x:v>Bottom</x:v>
      </x:c>
      <x:c r="F10" s="6" t="str">
        <x:v>실장부품</x:v>
      </x:c>
      <x:c r="G10" s="22" t="str">
        <x:v>예</x:v>
      </x:c>
      <x:c r="H10" s="18" t="n">
        <x:f>K10+'좌표안내'!$D$6</x:f>
        <x:v>67.95</x:v>
      </x:c>
      <x:c r="I10" s="18" t="n">
        <x:f>L10+'좌표안내'!$E$6</x:f>
        <x:v>18.3</x:v>
      </x:c>
      <x:c r="J10" s="20" t="n">
        <x:v>180</x:v>
      </x:c>
      <x:c r="K10" s="18" t="n">
        <x:f>'PPG원본'!D10-'좌표안내'!$B$6</x:f>
        <x:v>1.1999999999999993</x:v>
      </x:c>
      <x:c r="L10" s="18" t="n">
        <x:f>'좌표안내'!$C$6-'PPG원본'!E10</x:f>
        <x:v>0.8000000000000007</x:v>
      </x:c>
      <x:c r="M10" s="6" t="str">
        <x:v>Capacitor_SMD:C_0201_0603Metric</x:v>
      </x:c>
      <x:c r="N10" s="22" t="str">
        <x:v>예</x:v>
      </x:c>
      <x:c r="O10" s="22" t="str">
        <x:v>아니오</x:v>
      </x:c>
      <x:c r="P10" s="22" t="str">
        <x:v>아니오</x:v>
      </x:c>
    </x:row>
    <x:row r="11" ht="22" customHeight="1">
      <x:c r="A11" s="2" t="str">
        <x:v>PPG_C6</x:v>
      </x:c>
      <x:c r="B11" s="2" t="str">
        <x:v>PPG</x:v>
      </x:c>
      <x:c r="C11" s="2" t="str">
        <x:v>C6</x:v>
      </x:c>
      <x:c r="D11" s="2" t="str">
        <x:v>100 nF</x:v>
      </x:c>
      <x:c r="E11" s="2" t="str">
        <x:v>Bottom</x:v>
      </x:c>
      <x:c r="F11" s="2" t="str">
        <x:v>실장부품</x:v>
      </x:c>
      <x:c r="G11" s="23" t="str">
        <x:v>예</x:v>
      </x:c>
      <x:c r="H11" s="19" t="n">
        <x:f>K11+'좌표안내'!$D$6</x:f>
        <x:v>67.55</x:v>
      </x:c>
      <x:c r="I11" s="19" t="n">
        <x:f>L11+'좌표안내'!$E$6</x:f>
        <x:v>21.4</x:v>
      </x:c>
      <x:c r="J11" s="21" t="n">
        <x:v>45</x:v>
      </x:c>
      <x:c r="K11" s="19" t="n">
        <x:f>'PPG원본'!D11-'좌표안내'!$B$6</x:f>
        <x:v>0.8000000000000007</x:v>
      </x:c>
      <x:c r="L11" s="19" t="n">
        <x:f>'좌표안내'!$C$6-'PPG원본'!E11</x:f>
        <x:v>3.9000000000000004</x:v>
      </x:c>
      <x:c r="M11" s="2" t="str">
        <x:v>Capacitor_SMD:C_0201_0603Metric</x:v>
      </x:c>
      <x:c r="N11" s="23" t="str">
        <x:v>예</x:v>
      </x:c>
      <x:c r="O11" s="23" t="str">
        <x:v>아니오</x:v>
      </x:c>
      <x:c r="P11" s="23" t="str">
        <x:v>아니오</x:v>
      </x:c>
    </x:row>
    <x:row r="12" ht="22" customHeight="1">
      <x:c r="A12" s="6" t="str">
        <x:v>PPG_C7</x:v>
      </x:c>
      <x:c r="B12" s="6" t="str">
        <x:v>PPG</x:v>
      </x:c>
      <x:c r="C12" s="6" t="str">
        <x:v>C7</x:v>
      </x:c>
      <x:c r="D12" s="6" t="str">
        <x:v>100 nF</x:v>
      </x:c>
      <x:c r="E12" s="6" t="str">
        <x:v>Bottom</x:v>
      </x:c>
      <x:c r="F12" s="6" t="str">
        <x:v>실장부품</x:v>
      </x:c>
      <x:c r="G12" s="22" t="str">
        <x:v>예</x:v>
      </x:c>
      <x:c r="H12" s="18" t="n">
        <x:f>K12+'좌표안내'!$D$6</x:f>
        <x:v>66.775</x:v>
      </x:c>
      <x:c r="I12" s="18" t="n">
        <x:f>L12+'좌표안내'!$E$6</x:f>
        <x:v>22.17</x:v>
      </x:c>
      <x:c r="J12" s="20" t="n">
        <x:v>90</x:v>
      </x:c>
      <x:c r="K12" s="18" t="n">
        <x:f>'PPG원본'!D12-'좌표안내'!$B$6</x:f>
        <x:v>0.02499999999999858</x:v>
      </x:c>
      <x:c r="L12" s="18" t="n">
        <x:f>'좌표안내'!$C$6-'PPG원본'!E12</x:f>
        <x:v>4.67</x:v>
      </x:c>
      <x:c r="M12" s="6" t="str">
        <x:v>Capacitor_SMD:C_0201_0603Metric</x:v>
      </x:c>
      <x:c r="N12" s="22" t="str">
        <x:v>예</x:v>
      </x:c>
      <x:c r="O12" s="22" t="str">
        <x:v>아니오</x:v>
      </x:c>
      <x:c r="P12" s="22" t="str">
        <x:v>아니오</x:v>
      </x:c>
    </x:row>
    <x:row r="13" ht="22" customHeight="1">
      <x:c r="A13" s="2" t="str">
        <x:v>PPG_C11</x:v>
      </x:c>
      <x:c r="B13" s="2" t="str">
        <x:v>PPG</x:v>
      </x:c>
      <x:c r="C13" s="2" t="str">
        <x:v>C11</x:v>
      </x:c>
      <x:c r="D13" s="2" t="str">
        <x:v>100 nF</x:v>
      </x:c>
      <x:c r="E13" s="2" t="str">
        <x:v>Bottom</x:v>
      </x:c>
      <x:c r="F13" s="2" t="str">
        <x:v>실장부품</x:v>
      </x:c>
      <x:c r="G13" s="23" t="str">
        <x:v>예</x:v>
      </x:c>
      <x:c r="H13" s="19" t="n">
        <x:f>K13+'좌표안내'!$D$6</x:f>
        <x:v>64.75</x:v>
      </x:c>
      <x:c r="I13" s="19" t="n">
        <x:f>L13+'좌표안내'!$E$6</x:f>
        <x:v>14.899999999999999</x:v>
      </x:c>
      <x:c r="J13" s="21" t="n">
        <x:v>180</x:v>
      </x:c>
      <x:c r="K13" s="19" t="n">
        <x:f>'PPG원본'!D13-'좌표안내'!$B$6</x:f>
        <x:v>-2</x:v>
      </x:c>
      <x:c r="L13" s="19" t="n">
        <x:f>'좌표안내'!$C$6-'PPG원본'!E13</x:f>
        <x:v>-2.6000000000000014</x:v>
      </x:c>
      <x:c r="M13" s="2" t="str">
        <x:v>Capacitor_SMD:C_0201_0603Metric</x:v>
      </x:c>
      <x:c r="N13" s="23" t="str">
        <x:v>예</x:v>
      </x:c>
      <x:c r="O13" s="23" t="str">
        <x:v>아니오</x:v>
      </x:c>
      <x:c r="P13" s="23" t="str">
        <x:v>아니오</x:v>
      </x:c>
    </x:row>
    <x:row r="14" ht="22" customHeight="1">
      <x:c r="A14" s="6" t="str">
        <x:v>PPG_C12</x:v>
      </x:c>
      <x:c r="B14" s="6" t="str">
        <x:v>PPG</x:v>
      </x:c>
      <x:c r="C14" s="6" t="str">
        <x:v>C12</x:v>
      </x:c>
      <x:c r="D14" s="6" t="str">
        <x:v>1 µF</x:v>
      </x:c>
      <x:c r="E14" s="6" t="str">
        <x:v>Bottom</x:v>
      </x:c>
      <x:c r="F14" s="6" t="str">
        <x:v>실장부품</x:v>
      </x:c>
      <x:c r="G14" s="22" t="str">
        <x:v>예</x:v>
      </x:c>
      <x:c r="H14" s="18" t="n">
        <x:f>K14+'좌표안내'!$D$6</x:f>
        <x:v>64.55</x:v>
      </x:c>
      <x:c r="I14" s="18" t="n">
        <x:f>L14+'좌표안내'!$E$6</x:f>
        <x:v>22.9</x:v>
      </x:c>
      <x:c r="J14" s="20" t="n">
        <x:v>180</x:v>
      </x:c>
      <x:c r="K14" s="18" t="n">
        <x:f>'PPG원본'!D14-'좌표안내'!$B$6</x:f>
        <x:v>-2.1999999999999993</x:v>
      </x:c>
      <x:c r="L14" s="18" t="n">
        <x:f>'좌표안내'!$C$6-'PPG원본'!E14</x:f>
        <x:v>5.4</x:v>
      </x:c>
      <x:c r="M14" s="6" t="str">
        <x:v>Capacitor_SMD:C_0201_0603Metric</x:v>
      </x:c>
      <x:c r="N14" s="22" t="str">
        <x:v>예</x:v>
      </x:c>
      <x:c r="O14" s="22" t="str">
        <x:v>아니오</x:v>
      </x:c>
      <x:c r="P14" s="22" t="str">
        <x:v>아니오</x:v>
      </x:c>
    </x:row>
    <x:row r="15" ht="22" customHeight="1">
      <x:c r="A15" s="2" t="str">
        <x:v>PPG_C13</x:v>
      </x:c>
      <x:c r="B15" s="2" t="str">
        <x:v>PPG</x:v>
      </x:c>
      <x:c r="C15" s="2" t="str">
        <x:v>C13</x:v>
      </x:c>
      <x:c r="D15" s="2" t="str">
        <x:v>1 µF</x:v>
      </x:c>
      <x:c r="E15" s="2" t="str">
        <x:v>Bottom</x:v>
      </x:c>
      <x:c r="F15" s="2" t="str">
        <x:v>실장부품</x:v>
      </x:c>
      <x:c r="G15" s="23" t="str">
        <x:v>예</x:v>
      </x:c>
      <x:c r="H15" s="19" t="n">
        <x:f>K15+'좌표안내'!$D$6</x:f>
        <x:v>63.35</x:v>
      </x:c>
      <x:c r="I15" s="19" t="n">
        <x:f>L15+'좌표안내'!$E$6</x:f>
        <x:v>13.3</x:v>
      </x:c>
      <x:c r="J15" s="21" t="n">
        <x:v>-90</x:v>
      </x:c>
      <x:c r="K15" s="19" t="n">
        <x:f>'PPG원본'!D15-'좌표안내'!$B$6</x:f>
        <x:v>-3.3999999999999986</x:v>
      </x:c>
      <x:c r="L15" s="19" t="n">
        <x:f>'좌표안내'!$C$6-'PPG원본'!E15</x:f>
        <x:v>-4.199999999999999</x:v>
      </x:c>
      <x:c r="M15" s="2" t="str">
        <x:v>Capacitor_SMD:C_0402_1005Metric</x:v>
      </x:c>
      <x:c r="N15" s="23" t="str">
        <x:v>예</x:v>
      </x:c>
      <x:c r="O15" s="23" t="str">
        <x:v>아니오</x:v>
      </x:c>
      <x:c r="P15" s="23" t="str">
        <x:v>아니오</x:v>
      </x:c>
    </x:row>
    <x:row r="16" ht="22" customHeight="1">
      <x:c r="A16" s="6" t="str">
        <x:v>PPG_C14</x:v>
      </x:c>
      <x:c r="B16" s="6" t="str">
        <x:v>PPG</x:v>
      </x:c>
      <x:c r="C16" s="6" t="str">
        <x:v>C14</x:v>
      </x:c>
      <x:c r="D16" s="6" t="str">
        <x:v>1 µF</x:v>
      </x:c>
      <x:c r="E16" s="6" t="str">
        <x:v>Bottom</x:v>
      </x:c>
      <x:c r="F16" s="6" t="str">
        <x:v>실장부품</x:v>
      </x:c>
      <x:c r="G16" s="22" t="str">
        <x:v>예</x:v>
      </x:c>
      <x:c r="H16" s="18" t="n">
        <x:f>K16+'좌표안내'!$D$6</x:f>
        <x:v>71.15</x:v>
      </x:c>
      <x:c r="I16" s="18" t="n">
        <x:f>L16+'좌표안내'!$E$6</x:f>
        <x:v>14.600000000000001</x:v>
      </x:c>
      <x:c r="J16" s="20" t="n">
        <x:v>-45</x:v>
      </x:c>
      <x:c r="K16" s="18" t="n">
        <x:f>'PPG원본'!D16-'좌표안내'!$B$6</x:f>
        <x:v>4.399999999999999</x:v>
      </x:c>
      <x:c r="L16" s="18" t="n">
        <x:f>'좌표안내'!$C$6-'PPG원본'!E16</x:f>
        <x:v>-2.8999999999999986</x:v>
      </x:c>
      <x:c r="M16" s="6" t="str">
        <x:v>Capacitor_SMD:C_0201_0603Metric</x:v>
      </x:c>
      <x:c r="N16" s="22" t="str">
        <x:v>예</x:v>
      </x:c>
      <x:c r="O16" s="22" t="str">
        <x:v>아니오</x:v>
      </x:c>
      <x:c r="P16" s="22" t="str">
        <x:v>아니오</x:v>
      </x:c>
    </x:row>
    <x:row r="17" ht="22" customHeight="1">
      <x:c r="A17" s="2" t="str">
        <x:v>PPG_C15</x:v>
      </x:c>
      <x:c r="B17" s="2" t="str">
        <x:v>PPG</x:v>
      </x:c>
      <x:c r="C17" s="2" t="str">
        <x:v>C15</x:v>
      </x:c>
      <x:c r="D17" s="2" t="str">
        <x:v>100 nF</x:v>
      </x:c>
      <x:c r="E17" s="2" t="str">
        <x:v>Bottom</x:v>
      </x:c>
      <x:c r="F17" s="2" t="str">
        <x:v>실장부품</x:v>
      </x:c>
      <x:c r="G17" s="23" t="str">
        <x:v>예</x:v>
      </x:c>
      <x:c r="H17" s="19" t="n">
        <x:f>K17+'좌표안내'!$D$6</x:f>
        <x:v>66.15</x:v>
      </x:c>
      <x:c r="I17" s="19" t="n">
        <x:f>L17+'좌표안내'!$E$6</x:f>
        <x:v>15.100000000000001</x:v>
      </x:c>
      <x:c r="J17" s="21" t="n">
        <x:v>0</x:v>
      </x:c>
      <x:c r="K17" s="19" t="n">
        <x:f>'PPG원본'!D17-'좌표안내'!$B$6</x:f>
        <x:v>-0.6000000000000014</x:v>
      </x:c>
      <x:c r="L17" s="19" t="n">
        <x:f>'좌표안내'!$C$6-'PPG원본'!E17</x:f>
        <x:v>-2.3999999999999986</x:v>
      </x:c>
      <x:c r="M17" s="2" t="str">
        <x:v>Capacitor_SMD:C_0201_0603Metric</x:v>
      </x:c>
      <x:c r="N17" s="23" t="str">
        <x:v>예</x:v>
      </x:c>
      <x:c r="O17" s="23" t="str">
        <x:v>아니오</x:v>
      </x:c>
      <x:c r="P17" s="23" t="str">
        <x:v>아니오</x:v>
      </x:c>
    </x:row>
    <x:row r="18" ht="22" customHeight="1">
      <x:c r="A18" s="6" t="str">
        <x:v>PPG_C16</x:v>
      </x:c>
      <x:c r="B18" s="6" t="str">
        <x:v>PPG</x:v>
      </x:c>
      <x:c r="C18" s="6" t="str">
        <x:v>C16</x:v>
      </x:c>
      <x:c r="D18" s="6" t="str">
        <x:v>100 nF</x:v>
      </x:c>
      <x:c r="E18" s="6" t="str">
        <x:v>Bottom</x:v>
      </x:c>
      <x:c r="F18" s="6" t="str">
        <x:v>실장부품</x:v>
      </x:c>
      <x:c r="G18" s="22" t="str">
        <x:v>예</x:v>
      </x:c>
      <x:c r="H18" s="18" t="n">
        <x:f>K18+'좌표안내'!$D$6</x:f>
        <x:v>71.05</x:v>
      </x:c>
      <x:c r="I18" s="18" t="n">
        <x:f>L18+'좌표안내'!$E$6</x:f>
        <x:v>18.1</x:v>
      </x:c>
      <x:c r="J18" s="20" t="n">
        <x:v>180</x:v>
      </x:c>
      <x:c r="K18" s="18" t="n">
        <x:f>'PPG원본'!D18-'좌표안내'!$B$6</x:f>
        <x:v>4.300000000000001</x:v>
      </x:c>
      <x:c r="L18" s="18" t="n">
        <x:f>'좌표안내'!$C$6-'PPG원본'!E18</x:f>
        <x:v>0.6000000000000014</x:v>
      </x:c>
      <x:c r="M18" s="6" t="str">
        <x:v>Capacitor_SMD:C_0201_0603Metric</x:v>
      </x:c>
      <x:c r="N18" s="22" t="str">
        <x:v>예</x:v>
      </x:c>
      <x:c r="O18" s="22" t="str">
        <x:v>아니오</x:v>
      </x:c>
      <x:c r="P18" s="22" t="str">
        <x:v>아니오</x:v>
      </x:c>
    </x:row>
    <x:row r="19" ht="22" customHeight="1">
      <x:c r="A19" s="2" t="str">
        <x:v>PPG_C17</x:v>
      </x:c>
      <x:c r="B19" s="2" t="str">
        <x:v>PPG</x:v>
      </x:c>
      <x:c r="C19" s="2" t="str">
        <x:v>C17</x:v>
      </x:c>
      <x:c r="D19" s="2" t="str">
        <x:v>100 nF</x:v>
      </x:c>
      <x:c r="E19" s="2" t="str">
        <x:v>Bottom</x:v>
      </x:c>
      <x:c r="F19" s="2" t="str">
        <x:v>실장부품</x:v>
      </x:c>
      <x:c r="G19" s="23" t="str">
        <x:v>예</x:v>
      </x:c>
      <x:c r="H19" s="19" t="n">
        <x:f>K19+'좌표안내'!$D$6</x:f>
        <x:v>67.25</x:v>
      </x:c>
      <x:c r="I19" s="19" t="n">
        <x:f>L19+'좌표안내'!$E$6</x:f>
        <x:v>14.600000000000001</x:v>
      </x:c>
      <x:c r="J19" s="21" t="n">
        <x:v>90</x:v>
      </x:c>
      <x:c r="K19" s="19" t="n">
        <x:f>'PPG원본'!D19-'좌표안내'!$B$6</x:f>
        <x:v>0.5</x:v>
      </x:c>
      <x:c r="L19" s="19" t="n">
        <x:f>'좌표안내'!$C$6-'PPG원본'!E19</x:f>
        <x:v>-2.8999999999999986</x:v>
      </x:c>
      <x:c r="M19" s="2" t="str">
        <x:v>Capacitor_SMD:C_0201_0603Metric</x:v>
      </x:c>
      <x:c r="N19" s="23" t="str">
        <x:v>예</x:v>
      </x:c>
      <x:c r="O19" s="23" t="str">
        <x:v>아니오</x:v>
      </x:c>
      <x:c r="P19" s="23" t="str">
        <x:v>아니오</x:v>
      </x:c>
    </x:row>
    <x:row r="20" ht="22" customHeight="1">
      <x:c r="A20" s="6" t="str">
        <x:v>PPG_D1</x:v>
      </x:c>
      <x:c r="B20" s="6" t="str">
        <x:v>PPG</x:v>
      </x:c>
      <x:c r="C20" s="6" t="str">
        <x:v>D1</x:v>
      </x:c>
      <x:c r="D20" s="6" t="str">
        <x:v>SPHV15-01ETG</x:v>
      </x:c>
      <x:c r="E20" s="6" t="str">
        <x:v>Bottom</x:v>
      </x:c>
      <x:c r="F20" s="6" t="str">
        <x:v>실장부품</x:v>
      </x:c>
      <x:c r="G20" s="22" t="str">
        <x:v>예</x:v>
      </x:c>
      <x:c r="H20" s="18" t="n">
        <x:f>K20+'좌표안내'!$D$6</x:f>
        <x:v>67.85</x:v>
      </x:c>
      <x:c r="I20" s="18" t="n">
        <x:f>L20+'좌표안내'!$E$6</x:f>
        <x:v>23.3</x:v>
      </x:c>
      <x:c r="J20" s="20" t="n">
        <x:v>0</x:v>
      </x:c>
      <x:c r="K20" s="18" t="n">
        <x:f>'PPG원본'!D20-'좌표안내'!$B$6</x:f>
        <x:v>1.1000000000000014</x:v>
      </x:c>
      <x:c r="L20" s="18" t="n">
        <x:f>'좌표안내'!$C$6-'PPG원본'!E20</x:f>
        <x:v>5.800000000000001</x:v>
      </x:c>
      <x:c r="M20" s="6" t="str">
        <x:v>SleepBud:TVS_SOD882_1x0.6</x:v>
      </x:c>
      <x:c r="N20" s="22" t="str">
        <x:v>예</x:v>
      </x:c>
      <x:c r="O20" s="22" t="str">
        <x:v>아니오</x:v>
      </x:c>
      <x:c r="P20" s="22" t="str">
        <x:v>아니오</x:v>
      </x:c>
    </x:row>
    <x:row r="21" ht="22" customHeight="1">
      <x:c r="A21" s="2" t="str">
        <x:v>PPG_D6</x:v>
      </x:c>
      <x:c r="B21" s="2" t="str">
        <x:v>PPG</x:v>
      </x:c>
      <x:c r="C21" s="2" t="str">
        <x:v>D6</x:v>
      </x:c>
      <x:c r="D21" s="2" t="str">
        <x:v>ESD351DPYR</x:v>
      </x:c>
      <x:c r="E21" s="2" t="str">
        <x:v>Top</x:v>
      </x:c>
      <x:c r="F21" s="2" t="str">
        <x:v>실장부품</x:v>
      </x:c>
      <x:c r="G21" s="23" t="str">
        <x:v>예</x:v>
      </x:c>
      <x:c r="H21" s="19" t="n">
        <x:f>K21+'좌표안내'!$D$6</x:f>
        <x:v>66.4</x:v>
      </x:c>
      <x:c r="I21" s="19" t="n">
        <x:f>L21+'좌표안내'!$E$6</x:f>
        <x:v>13.399999999999999</x:v>
      </x:c>
      <x:c r="J21" s="21" t="n">
        <x:v>0</x:v>
      </x:c>
      <x:c r="K21" s="19" t="n">
        <x:f>'PPG원본'!D21-'좌표안내'!$B$6</x:f>
        <x:v>-0.3500000000000014</x:v>
      </x:c>
      <x:c r="L21" s="19" t="n">
        <x:f>'좌표안내'!$C$6-'PPG원본'!E21</x:f>
        <x:v>-4.100000000000001</x:v>
      </x:c>
      <x:c r="M21" s="2" t="str">
        <x:v>SleepBud:TI_DPY0002A_1x0.6</x:v>
      </x:c>
      <x:c r="N21" s="23" t="str">
        <x:v>예</x:v>
      </x:c>
      <x:c r="O21" s="23" t="str">
        <x:v>아니오</x:v>
      </x:c>
      <x:c r="P21" s="23" t="str">
        <x:v>아니오</x:v>
      </x:c>
    </x:row>
    <x:row r="22" ht="22" customHeight="1">
      <x:c r="A22" s="6" t="str">
        <x:v>PPG_D7</x:v>
      </x:c>
      <x:c r="B22" s="6" t="str">
        <x:v>PPG</x:v>
      </x:c>
      <x:c r="C22" s="6" t="str">
        <x:v>D7</x:v>
      </x:c>
      <x:c r="D22" s="6" t="str">
        <x:v>ESD351DPYR</x:v>
      </x:c>
      <x:c r="E22" s="6" t="str">
        <x:v>Top</x:v>
      </x:c>
      <x:c r="F22" s="6" t="str">
        <x:v>실장부품</x:v>
      </x:c>
      <x:c r="G22" s="22" t="str">
        <x:v>예</x:v>
      </x:c>
      <x:c r="H22" s="18" t="n">
        <x:f>K22+'좌표안내'!$D$6</x:f>
        <x:v>68.05</x:v>
      </x:c>
      <x:c r="I22" s="18" t="n">
        <x:f>L22+'좌표안내'!$E$6</x:f>
        <x:v>13.5</x:v>
      </x:c>
      <x:c r="J22" s="20" t="n">
        <x:v>180</x:v>
      </x:c>
      <x:c r="K22" s="18" t="n">
        <x:f>'PPG원본'!D22-'좌표안내'!$B$6</x:f>
        <x:v>1.3000000000000007</x:v>
      </x:c>
      <x:c r="L22" s="18" t="n">
        <x:f>'좌표안내'!$C$6-'PPG원본'!E22</x:f>
        <x:v>-4</x:v>
      </x:c>
      <x:c r="M22" s="6" t="str">
        <x:v>SleepBud:TI_DPY0002A_1x0.6</x:v>
      </x:c>
      <x:c r="N22" s="22" t="str">
        <x:v>예</x:v>
      </x:c>
      <x:c r="O22" s="22" t="str">
        <x:v>아니오</x:v>
      </x:c>
      <x:c r="P22" s="22" t="str">
        <x:v>아니오</x:v>
      </x:c>
    </x:row>
    <x:row r="23" ht="22" customHeight="1">
      <x:c r="A23" s="2" t="str">
        <x:v>PPG_D8</x:v>
      </x:c>
      <x:c r="B23" s="2" t="str">
        <x:v>PPG</x:v>
      </x:c>
      <x:c r="C23" s="2" t="str">
        <x:v>D8</x:v>
      </x:c>
      <x:c r="D23" s="2" t="str">
        <x:v>ESD351DPYR</x:v>
      </x:c>
      <x:c r="E23" s="2" t="str">
        <x:v>Bottom</x:v>
      </x:c>
      <x:c r="F23" s="2" t="str">
        <x:v>실장부품</x:v>
      </x:c>
      <x:c r="G23" s="23" t="str">
        <x:v>예</x:v>
      </x:c>
      <x:c r="H23" s="19" t="n">
        <x:f>K23+'좌표안내'!$D$6</x:f>
        <x:v>62.85</x:v>
      </x:c>
      <x:c r="I23" s="19" t="n">
        <x:f>L23+'좌표안내'!$E$6</x:f>
        <x:v>15.600000000000001</x:v>
      </x:c>
      <x:c r="J23" s="21" t="n">
        <x:v>90</x:v>
      </x:c>
      <x:c r="K23" s="19" t="n">
        <x:f>'PPG원본'!D23-'좌표안내'!$B$6</x:f>
        <x:v>-3.8999999999999986</x:v>
      </x:c>
      <x:c r="L23" s="19" t="n">
        <x:f>'좌표안내'!$C$6-'PPG원본'!E23</x:f>
        <x:v>-1.8999999999999986</x:v>
      </x:c>
      <x:c r="M23" s="2" t="str">
        <x:v>SleepBud:TI_DPY0002A_1x0.6</x:v>
      </x:c>
      <x:c r="N23" s="23" t="str">
        <x:v>예</x:v>
      </x:c>
      <x:c r="O23" s="23" t="str">
        <x:v>아니오</x:v>
      </x:c>
      <x:c r="P23" s="23" t="str">
        <x:v>아니오</x:v>
      </x:c>
    </x:row>
    <x:row r="24" ht="22" customHeight="1">
      <x:c r="A24" s="6" t="str">
        <x:v>PPG_FB1</x:v>
      </x:c>
      <x:c r="B24" s="6" t="str">
        <x:v>PPG</x:v>
      </x:c>
      <x:c r="C24" s="6" t="str">
        <x:v>FB1</x:v>
      </x:c>
      <x:c r="D24" s="6" t="str">
        <x:v>BLM15PX601SN1D</x:v>
      </x:c>
      <x:c r="E24" s="6" t="str">
        <x:v>Bottom</x:v>
      </x:c>
      <x:c r="F24" s="6" t="str">
        <x:v>실장부품</x:v>
      </x:c>
      <x:c r="G24" s="22" t="str">
        <x:v>예</x:v>
      </x:c>
      <x:c r="H24" s="18" t="n">
        <x:f>K24+'좌표안내'!$D$6</x:f>
        <x:v>61.95</x:v>
      </x:c>
      <x:c r="I24" s="18" t="n">
        <x:f>L24+'좌표안내'!$E$6</x:f>
        <x:v>14.3</x:v>
      </x:c>
      <x:c r="J24" s="20" t="n">
        <x:v>-55</x:v>
      </x:c>
      <x:c r="K24" s="18" t="n">
        <x:f>'PPG원본'!D24-'좌표안내'!$B$6</x:f>
        <x:v>-4.800000000000001</x:v>
      </x:c>
      <x:c r="L24" s="18" t="n">
        <x:f>'좌표안내'!$C$6-'PPG원본'!E24</x:f>
        <x:v>-3.1999999999999993</x:v>
      </x:c>
      <x:c r="M24" s="6" t="str">
        <x:v>Inductor_SMD:L_0402_1005Metric</x:v>
      </x:c>
      <x:c r="N24" s="22" t="str">
        <x:v>예</x:v>
      </x:c>
      <x:c r="O24" s="22" t="str">
        <x:v>아니오</x:v>
      </x:c>
      <x:c r="P24" s="22" t="str">
        <x:v>아니오</x:v>
      </x:c>
    </x:row>
    <x:row r="25" ht="22" customHeight="1">
      <x:c r="A25" s="2" t="str">
        <x:v>PPG_J1</x:v>
      </x:c>
      <x:c r="B25" s="2" t="str">
        <x:v>PPG</x:v>
      </x:c>
      <x:c r="C25" s="2" t="str">
        <x:v>J1</x:v>
      </x:c>
      <x:c r="D25" s="2" t="str">
        <x:v>12V</x:v>
      </x:c>
      <x:c r="E25" s="2" t="str">
        <x:v>Bottom</x:v>
      </x:c>
      <x:c r="F25" s="2" t="str">
        <x:v>납땜/검사 패드</x:v>
      </x:c>
      <x:c r="G25" s="23" t="str">
        <x:v>아니오</x:v>
      </x:c>
      <x:c r="H25" s="19" t="n">
        <x:f>K25+'좌표안내'!$D$6</x:f>
        <x:v>65.96719999999999</x:v>
      </x:c>
      <x:c r="I25" s="19" t="n">
        <x:f>L25+'좌표안내'!$E$6</x:f>
        <x:v>23.291</x:v>
      </x:c>
      <x:c r="J25" s="21" t="n">
        <x:v>180</x:v>
      </x:c>
      <x:c r="K25" s="19" t="n">
        <x:f>'PPG원본'!D25-'좌표안내'!$B$6</x:f>
        <x:v>-0.7828000000000017</x:v>
      </x:c>
      <x:c r="L25" s="19" t="n">
        <x:f>'좌표안내'!$C$6-'PPG원본'!E25</x:f>
        <x:v>5.791</x:v>
      </x:c>
      <x:c r="M25" s="2" t="str">
        <x:v>SleepBud:CablePad_D1.2</x:v>
      </x:c>
      <x:c r="N25" s="23" t="str">
        <x:v>예</x:v>
      </x:c>
      <x:c r="O25" s="23" t="str">
        <x:v>아니오</x:v>
      </x:c>
      <x:c r="P25" s="23" t="str">
        <x:v>아니오</x:v>
      </x:c>
    </x:row>
    <x:row r="26" ht="22" customHeight="1">
      <x:c r="A26" s="6" t="str">
        <x:v>PPG_J2</x:v>
      </x:c>
      <x:c r="B26" s="6" t="str">
        <x:v>PPG</x:v>
      </x:c>
      <x:c r="C26" s="6" t="str">
        <x:v>J2</x:v>
      </x:c>
      <x:c r="D26" s="6" t="str">
        <x:v>GND</x:v>
      </x:c>
      <x:c r="E26" s="6" t="str">
        <x:v>Bottom</x:v>
      </x:c>
      <x:c r="F26" s="6" t="str">
        <x:v>납땜/검사 패드</x:v>
      </x:c>
      <x:c r="G26" s="22" t="str">
        <x:v>아니오</x:v>
      </x:c>
      <x:c r="H26" s="18" t="n">
        <x:f>K26+'좌표안내'!$D$6</x:f>
        <x:v>67.4476</x:v>
      </x:c>
      <x:c r="I26" s="18" t="n">
        <x:f>L26+'좌표안내'!$E$6</x:f>
        <x:v>11.789000000000001</x:v>
      </x:c>
      <x:c r="J26" s="20" t="n">
        <x:v>-135</x:v>
      </x:c>
      <x:c r="K26" s="18" t="n">
        <x:f>'PPG원본'!D26-'좌표안내'!$B$6</x:f>
        <x:v>0.6976000000000013</x:v>
      </x:c>
      <x:c r="L26" s="18" t="n">
        <x:f>'좌표안내'!$C$6-'PPG원본'!E26</x:f>
        <x:v>-5.7109999999999985</x:v>
      </x:c>
      <x:c r="M26" s="6" t="str">
        <x:v>SleepBud:CablePad_D1.2</x:v>
      </x:c>
      <x:c r="N26" s="22" t="str">
        <x:v>예</x:v>
      </x:c>
      <x:c r="O26" s="22" t="str">
        <x:v>아니오</x:v>
      </x:c>
      <x:c r="P26" s="22" t="str">
        <x:v>아니오</x:v>
      </x:c>
    </x:row>
    <x:row r="27" ht="22" customHeight="1">
      <x:c r="A27" s="2" t="str">
        <x:v>PPG_J3</x:v>
      </x:c>
      <x:c r="B27" s="2" t="str">
        <x:v>PPG</x:v>
      </x:c>
      <x:c r="C27" s="2" t="str">
        <x:v>J3</x:v>
      </x:c>
      <x:c r="D27" s="2" t="str">
        <x:v>TXP</x:v>
      </x:c>
      <x:c r="E27" s="2" t="str">
        <x:v>Bottom</x:v>
      </x:c>
      <x:c r="F27" s="2" t="str">
        <x:v>납땜/검사 패드</x:v>
      </x:c>
      <x:c r="G27" s="23" t="str">
        <x:v>아니오</x:v>
      </x:c>
      <x:c r="H27" s="19" t="n">
        <x:f>K27+'좌표안내'!$D$6</x:f>
        <x:v>72.25</x:v>
      </x:c>
      <x:c r="I27" s="19" t="n">
        <x:f>L27+'좌표안내'!$E$6</x:f>
        <x:v>18.6</x:v>
      </x:c>
      <x:c r="J27" s="21" t="n">
        <x:v>-90</x:v>
      </x:c>
      <x:c r="K27" s="19" t="n">
        <x:f>'PPG원본'!D27-'좌표안내'!$B$6</x:f>
        <x:v>5.5</x:v>
      </x:c>
      <x:c r="L27" s="19" t="n">
        <x:f>'좌표안내'!$C$6-'PPG원본'!E27</x:f>
        <x:v>1.0999999999999996</x:v>
      </x:c>
      <x:c r="M27" s="2" t="str">
        <x:v>SleepBud:CablePad_D1.2</x:v>
      </x:c>
      <x:c r="N27" s="23" t="str">
        <x:v>예</x:v>
      </x:c>
      <x:c r="O27" s="23" t="str">
        <x:v>아니오</x:v>
      </x:c>
      <x:c r="P27" s="23" t="str">
        <x:v>아니오</x:v>
      </x:c>
    </x:row>
    <x:row r="28" ht="22" customHeight="1">
      <x:c r="A28" s="6" t="str">
        <x:v>PPG_J4</x:v>
      </x:c>
      <x:c r="B28" s="6" t="str">
        <x:v>PPG</x:v>
      </x:c>
      <x:c r="C28" s="6" t="str">
        <x:v>J4</x:v>
      </x:c>
      <x:c r="D28" s="6" t="str">
        <x:v>TXN</x:v>
      </x:c>
      <x:c r="E28" s="6" t="str">
        <x:v>Bottom</x:v>
      </x:c>
      <x:c r="F28" s="6" t="str">
        <x:v>납땜/검사 패드</x:v>
      </x:c>
      <x:c r="G28" s="22" t="str">
        <x:v>아니오</x:v>
      </x:c>
      <x:c r="H28" s="18" t="n">
        <x:f>K28+'좌표안내'!$D$6</x:f>
        <x:v>71.8531</x:v>
      </x:c>
      <x:c r="I28" s="18" t="n">
        <x:f>L28+'좌표안내'!$E$6</x:f>
        <x:v>15.819199999999999</x:v>
      </x:c>
      <x:c r="J28" s="20" t="n">
        <x:v>180</x:v>
      </x:c>
      <x:c r="K28" s="18" t="n">
        <x:f>'PPG원본'!D28-'좌표안내'!$B$6</x:f>
        <x:v>5.103100000000001</x:v>
      </x:c>
      <x:c r="L28" s="18" t="n">
        <x:f>'좌표안내'!$C$6-'PPG원본'!E28</x:f>
        <x:v>-1.6808000000000014</x:v>
      </x:c>
      <x:c r="M28" s="6" t="str">
        <x:v>SleepBud:CablePad_D1.2</x:v>
      </x:c>
      <x:c r="N28" s="22" t="str">
        <x:v>예</x:v>
      </x:c>
      <x:c r="O28" s="22" t="str">
        <x:v>아니오</x:v>
      </x:c>
      <x:c r="P28" s="22" t="str">
        <x:v>아니오</x:v>
      </x:c>
    </x:row>
    <x:row r="29" ht="22" customHeight="1">
      <x:c r="A29" s="2" t="str">
        <x:v>PPG_J5</x:v>
      </x:c>
      <x:c r="B29" s="2" t="str">
        <x:v>PPG</x:v>
      </x:c>
      <x:c r="C29" s="2" t="str">
        <x:v>J5</x:v>
      </x:c>
      <x:c r="D29" s="2" t="str">
        <x:v>RXP</x:v>
      </x:c>
      <x:c r="E29" s="2" t="str">
        <x:v>Bottom</x:v>
      </x:c>
      <x:c r="F29" s="2" t="str">
        <x:v>납땜/검사 패드</x:v>
      </x:c>
      <x:c r="G29" s="23" t="str">
        <x:v>아니오</x:v>
      </x:c>
      <x:c r="H29" s="19" t="n">
        <x:f>K29+'좌표안내'!$D$6</x:f>
        <x:v>61.15</x:v>
      </x:c>
      <x:c r="I29" s="19" t="n">
        <x:f>L29+'좌표안내'!$E$6</x:f>
        <x:v>16</x:v>
      </x:c>
      <x:c r="J29" s="21" t="n">
        <x:v>-90</x:v>
      </x:c>
      <x:c r="K29" s="19" t="n">
        <x:f>'PPG원본'!D29-'좌표안내'!$B$6</x:f>
        <x:v>-5.6</x:v>
      </x:c>
      <x:c r="L29" s="19" t="n">
        <x:f>'좌표안내'!$C$6-'PPG원본'!E29</x:f>
        <x:v>-1.5</x:v>
      </x:c>
      <x:c r="M29" s="2" t="str">
        <x:v>SleepBud:CablePad_D1.2</x:v>
      </x:c>
      <x:c r="N29" s="23" t="str">
        <x:v>예</x:v>
      </x:c>
      <x:c r="O29" s="23" t="str">
        <x:v>아니오</x:v>
      </x:c>
      <x:c r="P29" s="23" t="str">
        <x:v>아니오</x:v>
      </x:c>
    </x:row>
    <x:row r="30" ht="22" customHeight="1">
      <x:c r="A30" s="6" t="str">
        <x:v>PPG_J6</x:v>
      </x:c>
      <x:c r="B30" s="6" t="str">
        <x:v>PPG</x:v>
      </x:c>
      <x:c r="C30" s="6" t="str">
        <x:v>J6</x:v>
      </x:c>
      <x:c r="D30" s="6" t="str">
        <x:v>RXN</x:v>
      </x:c>
      <x:c r="E30" s="6" t="str">
        <x:v>Bottom</x:v>
      </x:c>
      <x:c r="F30" s="6" t="str">
        <x:v>납땜/검사 패드</x:v>
      </x:c>
      <x:c r="G30" s="22" t="str">
        <x:v>아니오</x:v>
      </x:c>
      <x:c r="H30" s="18" t="n">
        <x:f>K30+'좌표안내'!$D$6</x:f>
        <x:v>61.8155</x:v>
      </x:c>
      <x:c r="I30" s="18" t="n">
        <x:f>L30+'좌표안내'!$E$6</x:f>
        <x:v>20.5503</x:v>
      </x:c>
      <x:c r="J30" s="20" t="n">
        <x:v>90</x:v>
      </x:c>
      <x:c r="K30" s="18" t="n">
        <x:f>'PPG원본'!D30-'좌표안내'!$B$6</x:f>
        <x:v>-4.9345</x:v>
      </x:c>
      <x:c r="L30" s="18" t="n">
        <x:f>'좌표안내'!$C$6-'PPG원본'!E30</x:f>
        <x:v>3.0503</x:v>
      </x:c>
      <x:c r="M30" s="6" t="str">
        <x:v>SleepBud:CablePad_D1.2</x:v>
      </x:c>
      <x:c r="N30" s="22" t="str">
        <x:v>예</x:v>
      </x:c>
      <x:c r="O30" s="22" t="str">
        <x:v>아니오</x:v>
      </x:c>
      <x:c r="P30" s="22" t="str">
        <x:v>아니오</x:v>
      </x:c>
    </x:row>
    <x:row r="31" ht="22" customHeight="1">
      <x:c r="A31" s="2" t="str">
        <x:v>PPG_J7</x:v>
      </x:c>
      <x:c r="B31" s="2" t="str">
        <x:v>PPG</x:v>
      </x:c>
      <x:c r="C31" s="2" t="str">
        <x:v>J7</x:v>
      </x:c>
      <x:c r="D31" s="2" t="str">
        <x:v>SWDIO</x:v>
      </x:c>
      <x:c r="E31" s="2" t="str">
        <x:v>Top</x:v>
      </x:c>
      <x:c r="F31" s="2" t="str">
        <x:v>납땜/검사 패드</x:v>
      </x:c>
      <x:c r="G31" s="23" t="str">
        <x:v>아니오</x:v>
      </x:c>
      <x:c r="H31" s="19" t="n">
        <x:f>K31+'좌표안내'!$D$6</x:f>
        <x:v>65.48</x:v>
      </x:c>
      <x:c r="I31" s="19" t="n">
        <x:f>L31+'좌표안내'!$E$6</x:f>
        <x:v>12.649999999999999</x:v>
      </x:c>
      <x:c r="J31" s="21" t="n">
        <x:v>0</x:v>
      </x:c>
      <x:c r="K31" s="19" t="n">
        <x:f>'PPG원본'!D31-'좌표안내'!$B$6</x:f>
        <x:v>-1.2699999999999996</x:v>
      </x:c>
      <x:c r="L31" s="19" t="n">
        <x:f>'좌표안내'!$C$6-'PPG원본'!E31</x:f>
        <x:v>-4.850000000000001</x:v>
      </x:c>
      <x:c r="M31" s="2" t="str">
        <x:v>SleepBud:TestPad_D0.8_Front</x:v>
      </x:c>
      <x:c r="N31" s="23" t="str">
        <x:v>예</x:v>
      </x:c>
      <x:c r="O31" s="23" t="str">
        <x:v>아니오</x:v>
      </x:c>
      <x:c r="P31" s="23" t="str">
        <x:v>아니오</x:v>
      </x:c>
    </x:row>
    <x:row r="32" ht="22" customHeight="1">
      <x:c r="A32" s="6" t="str">
        <x:v>PPG_J8</x:v>
      </x:c>
      <x:c r="B32" s="6" t="str">
        <x:v>PPG</x:v>
      </x:c>
      <x:c r="C32" s="6" t="str">
        <x:v>J8</x:v>
      </x:c>
      <x:c r="D32" s="6" t="str">
        <x:v>SWCLK</x:v>
      </x:c>
      <x:c r="E32" s="6" t="str">
        <x:v>Top</x:v>
      </x:c>
      <x:c r="F32" s="6" t="str">
        <x:v>납땜/검사 패드</x:v>
      </x:c>
      <x:c r="G32" s="22" t="str">
        <x:v>아니오</x:v>
      </x:c>
      <x:c r="H32" s="18" t="n">
        <x:f>K32+'좌표안내'!$D$6</x:f>
        <x:v>68.02</x:v>
      </x:c>
      <x:c r="I32" s="18" t="n">
        <x:f>L32+'좌표안내'!$E$6</x:f>
        <x:v>12.649999999999999</x:v>
      </x:c>
      <x:c r="J32" s="20" t="n">
        <x:v>0</x:v>
      </x:c>
      <x:c r="K32" s="18" t="n">
        <x:f>'PPG원본'!D32-'좌표안내'!$B$6</x:f>
        <x:v>1.2699999999999996</x:v>
      </x:c>
      <x:c r="L32" s="18" t="n">
        <x:f>'좌표안내'!$C$6-'PPG원본'!E32</x:f>
        <x:v>-4.850000000000001</x:v>
      </x:c>
      <x:c r="M32" s="6" t="str">
        <x:v>SleepBud:TestPad_D0.8_Front</x:v>
      </x:c>
      <x:c r="N32" s="22" t="str">
        <x:v>예</x:v>
      </x:c>
      <x:c r="O32" s="22" t="str">
        <x:v>아니오</x:v>
      </x:c>
      <x:c r="P32" s="22" t="str">
        <x:v>아니오</x:v>
      </x:c>
    </x:row>
    <x:row r="33" ht="22" customHeight="1">
      <x:c r="A33" s="2" t="str">
        <x:v>PPG_J9</x:v>
      </x:c>
      <x:c r="B33" s="2" t="str">
        <x:v>PPG</x:v>
      </x:c>
      <x:c r="C33" s="2" t="str">
        <x:v>J9</x:v>
      </x:c>
      <x:c r="D33" s="2" t="str">
        <x:v>NRST</x:v>
      </x:c>
      <x:c r="E33" s="2" t="str">
        <x:v>Top</x:v>
      </x:c>
      <x:c r="F33" s="2" t="str">
        <x:v>납땜/검사 패드</x:v>
      </x:c>
      <x:c r="G33" s="23" t="str">
        <x:v>아니오</x:v>
      </x:c>
      <x:c r="H33" s="19" t="n">
        <x:f>K33+'좌표안내'!$D$6</x:f>
        <x:v>64.21000000000001</x:v>
      </x:c>
      <x:c r="I33" s="19" t="n">
        <x:f>L33+'좌표안내'!$E$6</x:f>
        <x:v>12.649999999999999</x:v>
      </x:c>
      <x:c r="J33" s="21" t="n">
        <x:v>0</x:v>
      </x:c>
      <x:c r="K33" s="19" t="n">
        <x:f>'PPG원본'!D33-'좌표안내'!$B$6</x:f>
        <x:v>-2.539999999999999</x:v>
      </x:c>
      <x:c r="L33" s="19" t="n">
        <x:f>'좌표안내'!$C$6-'PPG원본'!E33</x:f>
        <x:v>-4.850000000000001</x:v>
      </x:c>
      <x:c r="M33" s="2" t="str">
        <x:v>SleepBud:TestPad_D0.8_Front</x:v>
      </x:c>
      <x:c r="N33" s="23" t="str">
        <x:v>예</x:v>
      </x:c>
      <x:c r="O33" s="23" t="str">
        <x:v>아니오</x:v>
      </x:c>
      <x:c r="P33" s="23" t="str">
        <x:v>아니오</x:v>
      </x:c>
    </x:row>
    <x:row r="34" ht="22" customHeight="1">
      <x:c r="A34" s="6" t="str">
        <x:v>PPG_J10</x:v>
      </x:c>
      <x:c r="B34" s="6" t="str">
        <x:v>PPG</x:v>
      </x:c>
      <x:c r="C34" s="6" t="str">
        <x:v>J10</x:v>
      </x:c>
      <x:c r="D34" s="6" t="str">
        <x:v>GND</x:v>
      </x:c>
      <x:c r="E34" s="6" t="str">
        <x:v>Top</x:v>
      </x:c>
      <x:c r="F34" s="6" t="str">
        <x:v>납땜/검사 패드</x:v>
      </x:c>
      <x:c r="G34" s="22" t="str">
        <x:v>아니오</x:v>
      </x:c>
      <x:c r="H34" s="18" t="n">
        <x:f>K34+'좌표안내'!$D$6</x:f>
        <x:v>66.75</x:v>
      </x:c>
      <x:c r="I34" s="18" t="n">
        <x:f>L34+'좌표안내'!$E$6</x:f>
        <x:v>12.649999999999999</x:v>
      </x:c>
      <x:c r="J34" s="20" t="n">
        <x:v>0</x:v>
      </x:c>
      <x:c r="K34" s="18" t="n">
        <x:f>'PPG원본'!D34-'좌표안내'!$B$6</x:f>
        <x:v>0</x:v>
      </x:c>
      <x:c r="L34" s="18" t="n">
        <x:f>'좌표안내'!$C$6-'PPG원본'!E34</x:f>
        <x:v>-4.850000000000001</x:v>
      </x:c>
      <x:c r="M34" s="6" t="str">
        <x:v>SleepBud:TestPad_D0.8_Front</x:v>
      </x:c>
      <x:c r="N34" s="22" t="str">
        <x:v>예</x:v>
      </x:c>
      <x:c r="O34" s="22" t="str">
        <x:v>아니오</x:v>
      </x:c>
      <x:c r="P34" s="22" t="str">
        <x:v>아니오</x:v>
      </x:c>
    </x:row>
    <x:row r="35" ht="22" customHeight="1">
      <x:c r="A35" s="2" t="str">
        <x:v>PPG_J11</x:v>
      </x:c>
      <x:c r="B35" s="2" t="str">
        <x:v>PPG</x:v>
      </x:c>
      <x:c r="C35" s="2" t="str">
        <x:v>J11</x:v>
      </x:c>
      <x:c r="D35" s="2" t="str">
        <x:v>3V3_VTREF</x:v>
      </x:c>
      <x:c r="E35" s="2" t="str">
        <x:v>Top</x:v>
      </x:c>
      <x:c r="F35" s="2" t="str">
        <x:v>납땜/검사 패드</x:v>
      </x:c>
      <x:c r="G35" s="23" t="str">
        <x:v>아니오</x:v>
      </x:c>
      <x:c r="H35" s="19" t="n">
        <x:f>K35+'좌표안내'!$D$6</x:f>
        <x:v>69.28999999999999</x:v>
      </x:c>
      <x:c r="I35" s="19" t="n">
        <x:f>L35+'좌표안내'!$E$6</x:f>
        <x:v>12.649999999999999</x:v>
      </x:c>
      <x:c r="J35" s="21" t="n">
        <x:v>0</x:v>
      </x:c>
      <x:c r="K35" s="19" t="n">
        <x:f>'PPG원본'!D35-'좌표안내'!$B$6</x:f>
        <x:v>2.539999999999999</x:v>
      </x:c>
      <x:c r="L35" s="19" t="n">
        <x:f>'좌표안내'!$C$6-'PPG원본'!E35</x:f>
        <x:v>-4.850000000000001</x:v>
      </x:c>
      <x:c r="M35" s="2" t="str">
        <x:v>SleepBud:TestPad_D0.8_Front</x:v>
      </x:c>
      <x:c r="N35" s="23" t="str">
        <x:v>예</x:v>
      </x:c>
      <x:c r="O35" s="23" t="str">
        <x:v>아니오</x:v>
      </x:c>
      <x:c r="P35" s="23" t="str">
        <x:v>아니오</x:v>
      </x:c>
    </x:row>
    <x:row r="36" ht="22" customHeight="1">
      <x:c r="A36" s="6" t="str">
        <x:v>PPG_R1</x:v>
      </x:c>
      <x:c r="B36" s="6" t="str">
        <x:v>PPG</x:v>
      </x:c>
      <x:c r="C36" s="6" t="str">
        <x:v>R1</x:v>
      </x:c>
      <x:c r="D36" s="6" t="str">
        <x:v>4.7 kΩ</x:v>
      </x:c>
      <x:c r="E36" s="6" t="str">
        <x:v>Bottom</x:v>
      </x:c>
      <x:c r="F36" s="6" t="str">
        <x:v>실장부품</x:v>
      </x:c>
      <x:c r="G36" s="22" t="str">
        <x:v>예</x:v>
      </x:c>
      <x:c r="H36" s="18" t="n">
        <x:f>K36+'좌표안내'!$D$6</x:f>
        <x:v>67.95</x:v>
      </x:c>
      <x:c r="I36" s="18" t="n">
        <x:f>L36+'좌표안내'!$E$6</x:f>
        <x:v>16.9</x:v>
      </x:c>
      <x:c r="J36" s="20" t="n">
        <x:v>0</x:v>
      </x:c>
      <x:c r="K36" s="18" t="n">
        <x:f>'PPG원본'!D36-'좌표안내'!$B$6</x:f>
        <x:v>1.1999999999999993</x:v>
      </x:c>
      <x:c r="L36" s="18" t="n">
        <x:f>'좌표안내'!$C$6-'PPG원본'!E36</x:f>
        <x:v>-0.6000000000000014</x:v>
      </x:c>
      <x:c r="M36" s="6" t="str">
        <x:v>Resistor_SMD:R_0201_0603Metric</x:v>
      </x:c>
      <x:c r="N36" s="22" t="str">
        <x:v>예</x:v>
      </x:c>
      <x:c r="O36" s="22" t="str">
        <x:v>아니오</x:v>
      </x:c>
      <x:c r="P36" s="22" t="str">
        <x:v>아니오</x:v>
      </x:c>
    </x:row>
    <x:row r="37" ht="22" customHeight="1">
      <x:c r="A37" s="2" t="str">
        <x:v>PPG_R2</x:v>
      </x:c>
      <x:c r="B37" s="2" t="str">
        <x:v>PPG</x:v>
      </x:c>
      <x:c r="C37" s="2" t="str">
        <x:v>R2</x:v>
      </x:c>
      <x:c r="D37" s="2" t="str">
        <x:v>4.7 kΩ</x:v>
      </x:c>
      <x:c r="E37" s="2" t="str">
        <x:v>Bottom</x:v>
      </x:c>
      <x:c r="F37" s="2" t="str">
        <x:v>실장부품</x:v>
      </x:c>
      <x:c r="G37" s="23" t="str">
        <x:v>예</x:v>
      </x:c>
      <x:c r="H37" s="19" t="n">
        <x:f>K37+'좌표안내'!$D$6</x:f>
        <x:v>67.95</x:v>
      </x:c>
      <x:c r="I37" s="19" t="n">
        <x:f>L37+'좌표안내'!$E$6</x:f>
        <x:v>17.6</x:v>
      </x:c>
      <x:c r="J37" s="21" t="n">
        <x:v>0</x:v>
      </x:c>
      <x:c r="K37" s="19" t="n">
        <x:f>'PPG원본'!D37-'좌표안내'!$B$6</x:f>
        <x:v>1.1999999999999993</x:v>
      </x:c>
      <x:c r="L37" s="19" t="n">
        <x:f>'좌표안내'!$C$6-'PPG원본'!E37</x:f>
        <x:v>0.10000000000000142</x:v>
      </x:c>
      <x:c r="M37" s="2" t="str">
        <x:v>Resistor_SMD:R_0201_0603Metric</x:v>
      </x:c>
      <x:c r="N37" s="23" t="str">
        <x:v>예</x:v>
      </x:c>
      <x:c r="O37" s="23" t="str">
        <x:v>아니오</x:v>
      </x:c>
      <x:c r="P37" s="23" t="str">
        <x:v>아니오</x:v>
      </x:c>
    </x:row>
    <x:row r="38" ht="22" customHeight="1">
      <x:c r="A38" s="6" t="str">
        <x:v>PPG_R3</x:v>
      </x:c>
      <x:c r="B38" s="6" t="str">
        <x:v>PPG</x:v>
      </x:c>
      <x:c r="C38" s="6" t="str">
        <x:v>R3</x:v>
      </x:c>
      <x:c r="D38" s="6" t="str">
        <x:v>120 Ω</x:v>
      </x:c>
      <x:c r="E38" s="6" t="str">
        <x:v>Bottom</x:v>
      </x:c>
      <x:c r="F38" s="6" t="str">
        <x:v>실장부품</x:v>
      </x:c>
      <x:c r="G38" s="22" t="str">
        <x:v>예</x:v>
      </x:c>
      <x:c r="H38" s="18" t="n">
        <x:f>K38+'좌표안내'!$D$6</x:f>
        <x:v>60.95</x:v>
      </x:c>
      <x:c r="I38" s="18" t="n">
        <x:f>L38+'좌표안내'!$E$6</x:f>
        <x:v>17.7</x:v>
      </x:c>
      <x:c r="J38" s="20" t="n">
        <x:v>90</x:v>
      </x:c>
      <x:c r="K38" s="18" t="n">
        <x:f>'PPG원본'!D38-'좌표안내'!$B$6</x:f>
        <x:v>-5.800000000000001</x:v>
      </x:c>
      <x:c r="L38" s="18" t="n">
        <x:f>'좌표안내'!$C$6-'PPG원본'!E38</x:f>
        <x:v>0.1999999999999993</x:v>
      </x:c>
      <x:c r="M38" s="6" t="str">
        <x:v>Resistor_SMD:R_0402_1005Metric</x:v>
      </x:c>
      <x:c r="N38" s="22" t="str">
        <x:v>예</x:v>
      </x:c>
      <x:c r="O38" s="22" t="str">
        <x:v>아니오</x:v>
      </x:c>
      <x:c r="P38" s="22" t="str">
        <x:v>아니오</x:v>
      </x:c>
    </x:row>
    <x:row r="39" ht="22" customHeight="1">
      <x:c r="A39" s="2" t="str">
        <x:v>PPG_R4</x:v>
      </x:c>
      <x:c r="B39" s="2" t="str">
        <x:v>PPG</x:v>
      </x:c>
      <x:c r="C39" s="2" t="str">
        <x:v>R4</x:v>
      </x:c>
      <x:c r="D39" s="2" t="str">
        <x:v>10 kΩ</x:v>
      </x:c>
      <x:c r="E39" s="2" t="str">
        <x:v>Bottom</x:v>
      </x:c>
      <x:c r="F39" s="2" t="str">
        <x:v>실장부품</x:v>
      </x:c>
      <x:c r="G39" s="23" t="str">
        <x:v>예</x:v>
      </x:c>
      <x:c r="H39" s="19" t="n">
        <x:f>K39+'좌표안내'!$D$6</x:f>
        <x:v>69.35</x:v>
      </x:c>
      <x:c r="I39" s="19" t="n">
        <x:f>L39+'좌표안내'!$E$6</x:f>
        <x:v>17.6</x:v>
      </x:c>
      <x:c r="J39" s="21" t="n">
        <x:v>180</x:v>
      </x:c>
      <x:c r="K39" s="19" t="n">
        <x:f>'PPG원본'!D39-'좌표안내'!$B$6</x:f>
        <x:v>2.6000000000000014</x:v>
      </x:c>
      <x:c r="L39" s="19" t="n">
        <x:f>'좌표안내'!$C$6-'PPG원본'!E39</x:f>
        <x:v>0.10000000000000142</x:v>
      </x:c>
      <x:c r="M39" s="2" t="str">
        <x:v>Resistor_SMD:R_0201_0603Metric</x:v>
      </x:c>
      <x:c r="N39" s="23" t="str">
        <x:v>예</x:v>
      </x:c>
      <x:c r="O39" s="23" t="str">
        <x:v>아니오</x:v>
      </x:c>
      <x:c r="P39" s="23" t="str">
        <x:v>아니오</x:v>
      </x:c>
    </x:row>
    <x:row r="40" ht="22" customHeight="1">
      <x:c r="A40" s="6" t="str">
        <x:v>PPG_R5</x:v>
      </x:c>
      <x:c r="B40" s="6" t="str">
        <x:v>PPG</x:v>
      </x:c>
      <x:c r="C40" s="6" t="str">
        <x:v>R5</x:v>
      </x:c>
      <x:c r="D40" s="6" t="str">
        <x:v>22 Ω</x:v>
      </x:c>
      <x:c r="E40" s="6" t="str">
        <x:v>Bottom</x:v>
      </x:c>
      <x:c r="F40" s="6" t="str">
        <x:v>실장부품</x:v>
      </x:c>
      <x:c r="G40" s="22" t="str">
        <x:v>예</x:v>
      </x:c>
      <x:c r="H40" s="18" t="n">
        <x:f>K40+'좌표안내'!$D$6</x:f>
        <x:v>71.85</x:v>
      </x:c>
      <x:c r="I40" s="18" t="n">
        <x:f>L40+'좌표안내'!$E$6</x:f>
        <x:v>17.2</x:v>
      </x:c>
      <x:c r="J40" s="20" t="n">
        <x:v>0</x:v>
      </x:c>
      <x:c r="K40" s="18" t="n">
        <x:f>'PPG원본'!D40-'좌표안내'!$B$6</x:f>
        <x:v>5.100000000000001</x:v>
      </x:c>
      <x:c r="L40" s="18" t="n">
        <x:f>'좌표안내'!$C$6-'PPG원본'!E40</x:f>
        <x:v>-0.3000000000000007</x:v>
      </x:c>
      <x:c r="M40" s="6" t="str">
        <x:v>Resistor_SMD:R_0402_1005Metric</x:v>
      </x:c>
      <x:c r="N40" s="22" t="str">
        <x:v>예</x:v>
      </x:c>
      <x:c r="O40" s="22" t="str">
        <x:v>아니오</x:v>
      </x:c>
      <x:c r="P40" s="22" t="str">
        <x:v>아니오</x:v>
      </x:c>
    </x:row>
    <x:row r="41" ht="22" customHeight="1">
      <x:c r="A41" s="2" t="str">
        <x:v>PPG_R6</x:v>
      </x:c>
      <x:c r="B41" s="2" t="str">
        <x:v>PPG</x:v>
      </x:c>
      <x:c r="C41" s="2" t="str">
        <x:v>R6</x:v>
      </x:c>
      <x:c r="D41" s="2" t="str">
        <x:v>22 Ω</x:v>
      </x:c>
      <x:c r="E41" s="2" t="str">
        <x:v>Bottom</x:v>
      </x:c>
      <x:c r="F41" s="2" t="str">
        <x:v>실장부품</x:v>
      </x:c>
      <x:c r="G41" s="23" t="str">
        <x:v>예</x:v>
      </x:c>
      <x:c r="H41" s="19" t="n">
        <x:f>K41+'좌표안내'!$D$6</x:f>
        <x:v>70.45</x:v>
      </x:c>
      <x:c r="I41" s="19" t="n">
        <x:f>L41+'좌표안내'!$E$6</x:f>
        <x:v>16.3</x:v>
      </x:c>
      <x:c r="J41" s="21" t="n">
        <x:v>-90</x:v>
      </x:c>
      <x:c r="K41" s="19" t="n">
        <x:f>'PPG원본'!D41-'좌표안내'!$B$6</x:f>
        <x:v>3.6999999999999993</x:v>
      </x:c>
      <x:c r="L41" s="19" t="n">
        <x:f>'좌표안내'!$C$6-'PPG원본'!E41</x:f>
        <x:v>-1.1999999999999993</x:v>
      </x:c>
      <x:c r="M41" s="2" t="str">
        <x:v>Resistor_SMD:R_0402_1005Metric</x:v>
      </x:c>
      <x:c r="N41" s="23" t="str">
        <x:v>예</x:v>
      </x:c>
      <x:c r="O41" s="23" t="str">
        <x:v>아니오</x:v>
      </x:c>
      <x:c r="P41" s="23" t="str">
        <x:v>아니오</x:v>
      </x:c>
    </x:row>
    <x:row r="42" ht="22" customHeight="1">
      <x:c r="A42" s="6" t="str">
        <x:v>PPG_R7</x:v>
      </x:c>
      <x:c r="B42" s="6" t="str">
        <x:v>PPG</x:v>
      </x:c>
      <x:c r="C42" s="6" t="str">
        <x:v>R7</x:v>
      </x:c>
      <x:c r="D42" s="6" t="str">
        <x:v>22 Ω</x:v>
      </x:c>
      <x:c r="E42" s="6" t="str">
        <x:v>Bottom</x:v>
      </x:c>
      <x:c r="F42" s="6" t="str">
        <x:v>실장부품</x:v>
      </x:c>
      <x:c r="G42" s="22" t="str">
        <x:v>예</x:v>
      </x:c>
      <x:c r="H42" s="18" t="n">
        <x:f>K42+'좌표안내'!$D$6</x:f>
        <x:v>62.35</x:v>
      </x:c>
      <x:c r="I42" s="18" t="n">
        <x:f>L42+'좌표안내'!$E$6</x:f>
        <x:v>17.2</x:v>
      </x:c>
      <x:c r="J42" s="20" t="n">
        <x:v>180</x:v>
      </x:c>
      <x:c r="K42" s="18" t="n">
        <x:f>'PPG원본'!D42-'좌표안내'!$B$6</x:f>
        <x:v>-4.4</x:v>
      </x:c>
      <x:c r="L42" s="18" t="n">
        <x:f>'좌표안내'!$C$6-'PPG원본'!E42</x:f>
        <x:v>-0.3000000000000007</x:v>
      </x:c>
      <x:c r="M42" s="6" t="str">
        <x:v>Resistor_SMD:R_0402_1005Metric</x:v>
      </x:c>
      <x:c r="N42" s="22" t="str">
        <x:v>예</x:v>
      </x:c>
      <x:c r="O42" s="22" t="str">
        <x:v>아니오</x:v>
      </x:c>
      <x:c r="P42" s="22" t="str">
        <x:v>아니오</x:v>
      </x:c>
    </x:row>
    <x:row r="43" ht="22" customHeight="1">
      <x:c r="A43" s="2" t="str">
        <x:v>PPG_R8</x:v>
      </x:c>
      <x:c r="B43" s="2" t="str">
        <x:v>PPG</x:v>
      </x:c>
      <x:c r="C43" s="2" t="str">
        <x:v>R8</x:v>
      </x:c>
      <x:c r="D43" s="2" t="str">
        <x:v>22 Ω</x:v>
      </x:c>
      <x:c r="E43" s="2" t="str">
        <x:v>Bottom</x:v>
      </x:c>
      <x:c r="F43" s="2" t="str">
        <x:v>실장부품</x:v>
      </x:c>
      <x:c r="G43" s="23" t="str">
        <x:v>예</x:v>
      </x:c>
      <x:c r="H43" s="19" t="n">
        <x:f>K43+'좌표안내'!$D$6</x:f>
        <x:v>62.35</x:v>
      </x:c>
      <x:c r="I43" s="19" t="n">
        <x:f>L43+'좌표안내'!$E$6</x:f>
        <x:v>18.2</x:v>
      </x:c>
      <x:c r="J43" s="21" t="n">
        <x:v>180</x:v>
      </x:c>
      <x:c r="K43" s="19" t="n">
        <x:f>'PPG원본'!D43-'좌표안내'!$B$6</x:f>
        <x:v>-4.4</x:v>
      </x:c>
      <x:c r="L43" s="19" t="n">
        <x:f>'좌표안내'!$C$6-'PPG원본'!E43</x:f>
        <x:v>0.6999999999999993</x:v>
      </x:c>
      <x:c r="M43" s="2" t="str">
        <x:v>Resistor_SMD:R_0402_1005Metric</x:v>
      </x:c>
      <x:c r="N43" s="23" t="str">
        <x:v>예</x:v>
      </x:c>
      <x:c r="O43" s="23" t="str">
        <x:v>아니오</x:v>
      </x:c>
      <x:c r="P43" s="23" t="str">
        <x:v>아니오</x:v>
      </x:c>
    </x:row>
    <x:row r="44" ht="22" customHeight="1">
      <x:c r="A44" s="6" t="str">
        <x:v>PPG_U1</x:v>
      </x:c>
      <x:c r="B44" s="6" t="str">
        <x:v>PPG</x:v>
      </x:c>
      <x:c r="C44" s="6" t="str">
        <x:v>U1</x:v>
      </x:c>
      <x:c r="D44" s="6" t="str">
        <x:v>MAXM86161EFD+</x:v>
      </x:c>
      <x:c r="E44" s="6" t="str">
        <x:v>Top</x:v>
      </x:c>
      <x:c r="F44" s="6" t="str">
        <x:v>실장부품</x:v>
      </x:c>
      <x:c r="G44" s="22" t="str">
        <x:v>예</x:v>
      </x:c>
      <x:c r="H44" s="18" t="n">
        <x:f>K44+'좌표안내'!$D$6</x:f>
        <x:v>66.75</x:v>
      </x:c>
      <x:c r="I44" s="18" t="n">
        <x:f>L44+'좌표안내'!$E$6</x:f>
        <x:v>17.5</x:v>
      </x:c>
      <x:c r="J44" s="20" t="n">
        <x:v>0</x:v>
      </x:c>
      <x:c r="K44" s="18" t="n">
        <x:f>'PPG원본'!D44-'좌표안내'!$B$6</x:f>
        <x:v>0</x:v>
      </x:c>
      <x:c r="L44" s="18" t="n">
        <x:f>'좌표안내'!$C$6-'PPG원본'!E44</x:f>
        <x:v>0</x:v>
      </x:c>
      <x:c r="M44" s="6" t="str">
        <x:v>SleepBud:MAXM86161_OLGA-14</x:v>
      </x:c>
      <x:c r="N44" s="22" t="str">
        <x:v>예</x:v>
      </x:c>
      <x:c r="O44" s="22" t="str">
        <x:v>아니오</x:v>
      </x:c>
      <x:c r="P44" s="22" t="str">
        <x:v>아니오</x:v>
      </x:c>
    </x:row>
    <x:row r="45" ht="22" customHeight="1">
      <x:c r="A45" s="2" t="str">
        <x:v>PPG_U2</x:v>
      </x:c>
      <x:c r="B45" s="2" t="str">
        <x:v>PPG</x:v>
      </x:c>
      <x:c r="C45" s="2" t="str">
        <x:v>U2</x:v>
      </x:c>
      <x:c r="D45" s="2" t="str">
        <x:v>STM32C011F6U6</x:v>
      </x:c>
      <x:c r="E45" s="2" t="str">
        <x:v>Bottom</x:v>
      </x:c>
      <x:c r="F45" s="2" t="str">
        <x:v>실장부품</x:v>
      </x:c>
      <x:c r="G45" s="23" t="str">
        <x:v>예</x:v>
      </x:c>
      <x:c r="H45" s="19" t="n">
        <x:f>K45+'좌표안내'!$D$6</x:f>
        <x:v>65.0919</x:v>
      </x:c>
      <x:c r="I45" s="19" t="n">
        <x:f>L45+'좌표안내'!$E$6</x:f>
        <x:v>17.2251</x:v>
      </x:c>
      <x:c r="J45" s="21" t="n">
        <x:v>90</x:v>
      </x:c>
      <x:c r="K45" s="19" t="n">
        <x:f>'PPG원본'!D45-'좌표안내'!$B$6</x:f>
        <x:v>-1.658100000000001</x:v>
      </x:c>
      <x:c r="L45" s="19" t="n">
        <x:f>'좌표안내'!$C$6-'PPG원본'!E45</x:f>
        <x:v>-0.2748999999999988</x:v>
      </x:c>
      <x:c r="M45" s="2" t="str">
        <x:v>Package_DFN_QFN:ST_UFQFPN-20_3x3mm_P0.5mm</x:v>
      </x:c>
      <x:c r="N45" s="23" t="str">
        <x:v>예</x:v>
      </x:c>
      <x:c r="O45" s="23" t="str">
        <x:v>아니오</x:v>
      </x:c>
      <x:c r="P45" s="23" t="str">
        <x:v>아니오</x:v>
      </x:c>
    </x:row>
    <x:row r="46" ht="22" customHeight="1">
      <x:c r="A46" s="6" t="str">
        <x:v>PPG_U3</x:v>
      </x:c>
      <x:c r="B46" s="6" t="str">
        <x:v>PPG</x:v>
      </x:c>
      <x:c r="C46" s="6" t="str">
        <x:v>U3</x:v>
      </x:c>
      <x:c r="D46" s="6" t="str">
        <x:v>XR33194ESBTR</x:v>
      </x:c>
      <x:c r="E46" s="6" t="str">
        <x:v>Bottom</x:v>
      </x:c>
      <x:c r="F46" s="6" t="str">
        <x:v>실장부품</x:v>
      </x:c>
      <x:c r="G46" s="22" t="str">
        <x:v>예</x:v>
      </x:c>
      <x:c r="H46" s="18" t="n">
        <x:f>K46+'좌표안내'!$D$6</x:f>
        <x:v>69.75</x:v>
      </x:c>
      <x:c r="I46" s="18" t="n">
        <x:f>L46+'좌표안내'!$E$6</x:f>
        <x:v>20.6</x:v>
      </x:c>
      <x:c r="J46" s="20" t="n">
        <x:v>45</x:v>
      </x:c>
      <x:c r="K46" s="18" t="n">
        <x:f>'PPG원본'!D46-'좌표안내'!$B$6</x:f>
        <x:v>3</x:v>
      </x:c>
      <x:c r="L46" s="18" t="n">
        <x:f>'좌표안내'!$C$6-'PPG원본'!E46</x:f>
        <x:v>3.0999999999999996</x:v>
      </x:c>
      <x:c r="M46" s="6" t="str">
        <x:v>SleepBud:TSOT23-6_MaxLinear</x:v>
      </x:c>
      <x:c r="N46" s="22" t="str">
        <x:v>예</x:v>
      </x:c>
      <x:c r="O46" s="22" t="str">
        <x:v>아니오</x:v>
      </x:c>
      <x:c r="P46" s="22" t="str">
        <x:v>아니오</x:v>
      </x:c>
    </x:row>
    <x:row r="47" ht="22" customHeight="1">
      <x:c r="A47" s="2" t="str">
        <x:v>PPG_U4</x:v>
      </x:c>
      <x:c r="B47" s="2" t="str">
        <x:v>PPG</x:v>
      </x:c>
      <x:c r="C47" s="2" t="str">
        <x:v>U4</x:v>
      </x:c>
      <x:c r="D47" s="2" t="str">
        <x:v>MCP1703A-5002E/MC</x:v>
      </x:c>
      <x:c r="E47" s="2" t="str">
        <x:v>Bottom</x:v>
      </x:c>
      <x:c r="F47" s="2" t="str">
        <x:v>실장부품</x:v>
      </x:c>
      <x:c r="G47" s="23" t="str">
        <x:v>예</x:v>
      </x:c>
      <x:c r="H47" s="19" t="n">
        <x:f>K47+'좌표안내'!$D$6</x:f>
        <x:v>65.4757</x:v>
      </x:c>
      <x:c r="I47" s="19" t="n">
        <x:f>L47+'좌표안내'!$E$6</x:f>
        <x:v>12.7561</x:v>
      </x:c>
      <x:c r="J47" s="21" t="n">
        <x:v>180</x:v>
      </x:c>
      <x:c r="K47" s="19" t="n">
        <x:f>'PPG원본'!D47-'좌표안내'!$B$6</x:f>
        <x:v>-1.2743000000000002</x:v>
      </x:c>
      <x:c r="L47" s="19" t="n">
        <x:f>'좌표안내'!$C$6-'PPG원본'!E47</x:f>
        <x:v>-4.7439</x:v>
      </x:c>
      <x:c r="M47" s="2" t="str">
        <x:v>Package_DFN_QFN:DFN-8-1EP_2x3mm_P0.5mm_EP0.61x2.2mm</x:v>
      </x:c>
      <x:c r="N47" s="23" t="str">
        <x:v>예</x:v>
      </x:c>
      <x:c r="O47" s="23" t="str">
        <x:v>아니오</x:v>
      </x:c>
      <x:c r="P47" s="23" t="str">
        <x:v>아니오</x:v>
      </x:c>
    </x:row>
    <x:row r="48" ht="22" customHeight="1">
      <x:c r="A48" s="6" t="str">
        <x:v>PPG_U5</x:v>
      </x:c>
      <x:c r="B48" s="6" t="str">
        <x:v>PPG</x:v>
      </x:c>
      <x:c r="C48" s="6" t="str">
        <x:v>U5</x:v>
      </x:c>
      <x:c r="D48" s="6" t="str">
        <x:v>MCP1703A-3302E/MC</x:v>
      </x:c>
      <x:c r="E48" s="6" t="str">
        <x:v>Bottom</x:v>
      </x:c>
      <x:c r="F48" s="6" t="str">
        <x:v>실장부품</x:v>
      </x:c>
      <x:c r="G48" s="22" t="str">
        <x:v>예</x:v>
      </x:c>
      <x:c r="H48" s="18" t="n">
        <x:f>K48+'좌표안내'!$D$6</x:f>
        <x:v>69.5348</x:v>
      </x:c>
      <x:c r="I48" s="18" t="n">
        <x:f>L48+'좌표안내'!$E$6</x:f>
        <x:v>13.365200000000002</x:v>
      </x:c>
      <x:c r="J48" s="20" t="n">
        <x:v>-135</x:v>
      </x:c>
      <x:c r="K48" s="18" t="n">
        <x:f>'PPG원본'!D48-'좌표안내'!$B$6</x:f>
        <x:v>2.7848000000000006</x:v>
      </x:c>
      <x:c r="L48" s="18" t="n">
        <x:f>'좌표안내'!$C$6-'PPG원본'!E48</x:f>
        <x:v>-4.1347999999999985</x:v>
      </x:c>
      <x:c r="M48" s="6" t="str">
        <x:v>Package_DFN_QFN:DFN-8-1EP_2x3mm_P0.5mm_EP0.61x2.2mm</x:v>
      </x:c>
      <x:c r="N48" s="22" t="str">
        <x:v>예</x:v>
      </x:c>
      <x:c r="O48" s="22" t="str">
        <x:v>아니오</x:v>
      </x:c>
      <x:c r="P48" s="22" t="str">
        <x:v>아니오</x:v>
      </x:c>
    </x:row>
    <x:row r="49" ht="22" customHeight="1">
      <x:c r="A49" s="2" t="str">
        <x:v>PPG_U6</x:v>
      </x:c>
      <x:c r="B49" s="2" t="str">
        <x:v>PPG</x:v>
      </x:c>
      <x:c r="C49" s="2" t="str">
        <x:v>U6</x:v>
      </x:c>
      <x:c r="D49" s="2" t="str">
        <x:v>XR33183ESBTR</x:v>
      </x:c>
      <x:c r="E49" s="2" t="str">
        <x:v>Bottom</x:v>
      </x:c>
      <x:c r="F49" s="2" t="str">
        <x:v>실장부품</x:v>
      </x:c>
      <x:c r="G49" s="23" t="str">
        <x:v>예</x:v>
      </x:c>
      <x:c r="H49" s="19" t="n">
        <x:f>K49+'좌표안내'!$D$6</x:f>
        <x:v>64.56</x:v>
      </x:c>
      <x:c r="I49" s="19" t="n">
        <x:f>L49+'좌표안내'!$E$6</x:f>
        <x:v>20.7337</x:v>
      </x:c>
      <x:c r="J49" s="21" t="n">
        <x:v>180</x:v>
      </x:c>
      <x:c r="K49" s="19" t="n">
        <x:f>'PPG원본'!D49-'좌표안내'!$B$6</x:f>
        <x:v>-2.1900000000000013</x:v>
      </x:c>
      <x:c r="L49" s="19" t="n">
        <x:f>'좌표안내'!$C$6-'PPG원본'!E49</x:f>
        <x:v>3.2337000000000007</x:v>
      </x:c>
      <x:c r="M49" s="2" t="str">
        <x:v>SleepBud:TSOT23-6_MaxLinear</x:v>
      </x:c>
      <x:c r="N49" s="23" t="str">
        <x:v>예</x:v>
      </x:c>
      <x:c r="O49" s="23" t="str">
        <x:v>아니오</x:v>
      </x:c>
      <x:c r="P49" s="23" t="str">
        <x:v>아니오</x:v>
      </x:c>
    </x:row>
    <x:row r="50" ht="22" customHeight="1">
      <x:c r="A50" s="6" t="str">
        <x:v>UART_C1</x:v>
      </x:c>
      <x:c r="B50" s="6" t="str">
        <x:v>UART</x:v>
      </x:c>
      <x:c r="C50" s="6" t="str">
        <x:v>C1</x:v>
      </x:c>
      <x:c r="D50" s="6" t="str">
        <x:v>10 µF</x:v>
      </x:c>
      <x:c r="E50" s="6" t="str">
        <x:v>Bottom</x:v>
      </x:c>
      <x:c r="F50" s="6" t="str">
        <x:v>실장부품</x:v>
      </x:c>
      <x:c r="G50" s="22" t="str">
        <x:v>예</x:v>
      </x:c>
      <x:c r="H50" s="18" t="n">
        <x:f>K50+'좌표안내'!$D$7</x:f>
        <x:v>22.599999999999994</x:v>
      </x:c>
      <x:c r="I50" s="18" t="n">
        <x:f>L50+'좌표안내'!$E$7</x:f>
        <x:v>23.5</x:v>
      </x:c>
      <x:c r="J50" s="20" t="n">
        <x:v>180</x:v>
      </x:c>
      <x:c r="K50" s="18" t="n">
        <x:f>'UART원본'!D8-'좌표안내'!$B$7</x:f>
        <x:v>17.599999999999994</x:v>
      </x:c>
      <x:c r="L50" s="18" t="n">
        <x:f>'좌표안내'!$C$7-'UART원본'!E8</x:f>
        <x:v>18.5</x:v>
      </x:c>
      <x:c r="M50" s="6" t="str">
        <x:v>Capacitor_SMD:C_0603_1608Metric</x:v>
      </x:c>
      <x:c r="N50" s="22" t="str">
        <x:v>예</x:v>
      </x:c>
      <x:c r="O50" s="22" t="str">
        <x:v>아니오</x:v>
      </x:c>
      <x:c r="P50" s="22" t="str">
        <x:v>아니오</x:v>
      </x:c>
    </x:row>
    <x:row r="51" ht="22" customHeight="1">
      <x:c r="A51" s="2" t="str">
        <x:v>UART_C2</x:v>
      </x:c>
      <x:c r="B51" s="2" t="str">
        <x:v>UART</x:v>
      </x:c>
      <x:c r="C51" s="2" t="str">
        <x:v>C2</x:v>
      </x:c>
      <x:c r="D51" s="2" t="str">
        <x:v>22 µF</x:v>
      </x:c>
      <x:c r="E51" s="2" t="str">
        <x:v>Bottom</x:v>
      </x:c>
      <x:c r="F51" s="2" t="str">
        <x:v>실장부품</x:v>
      </x:c>
      <x:c r="G51" s="23" t="str">
        <x:v>예</x:v>
      </x:c>
      <x:c r="H51" s="19" t="n">
        <x:f>K51+'좌표안내'!$D$7</x:f>
        <x:v>40.8</x:v>
      </x:c>
      <x:c r="I51" s="19" t="n">
        <x:f>L51+'좌표안내'!$E$7</x:f>
        <x:v>25.700000000000003</x:v>
      </x:c>
      <x:c r="J51" s="21" t="n">
        <x:v>0</x:v>
      </x:c>
      <x:c r="K51" s="19" t="n">
        <x:f>'UART원본'!D9-'좌표안내'!$B$7</x:f>
        <x:v>35.8</x:v>
      </x:c>
      <x:c r="L51" s="19" t="n">
        <x:f>'좌표안내'!$C$7-'UART원본'!E9</x:f>
        <x:v>20.700000000000003</x:v>
      </x:c>
      <x:c r="M51" s="2" t="str">
        <x:v>Capacitor_SMD:C_0603_1608Metric</x:v>
      </x:c>
      <x:c r="N51" s="23" t="str">
        <x:v>예</x:v>
      </x:c>
      <x:c r="O51" s="23" t="str">
        <x:v>아니오</x:v>
      </x:c>
      <x:c r="P51" s="23" t="str">
        <x:v>아니오</x:v>
      </x:c>
    </x:row>
    <x:row r="52" ht="22" customHeight="1">
      <x:c r="A52" s="6" t="str">
        <x:v>UART_C3</x:v>
      </x:c>
      <x:c r="B52" s="6" t="str">
        <x:v>UART</x:v>
      </x:c>
      <x:c r="C52" s="6" t="str">
        <x:v>C3</x:v>
      </x:c>
      <x:c r="D52" s="6" t="str">
        <x:v>100 nF</x:v>
      </x:c>
      <x:c r="E52" s="6" t="str">
        <x:v>Bottom</x:v>
      </x:c>
      <x:c r="F52" s="6" t="str">
        <x:v>실장부품</x:v>
      </x:c>
      <x:c r="G52" s="22" t="str">
        <x:v>예</x:v>
      </x:c>
      <x:c r="H52" s="18" t="n">
        <x:f>K52+'좌표안내'!$D$7</x:f>
        <x:v>22.599999999999994</x:v>
      </x:c>
      <x:c r="I52" s="18" t="n">
        <x:f>L52+'좌표안내'!$E$7</x:f>
        <x:v>21.5</x:v>
      </x:c>
      <x:c r="J52" s="20" t="n">
        <x:v>180</x:v>
      </x:c>
      <x:c r="K52" s="18" t="n">
        <x:f>'UART원본'!D10-'좌표안내'!$B$7</x:f>
        <x:v>17.599999999999994</x:v>
      </x:c>
      <x:c r="L52" s="18" t="n">
        <x:f>'좌표안내'!$C$7-'UART원본'!E10</x:f>
        <x:v>16.5</x:v>
      </x:c>
      <x:c r="M52" s="6" t="str">
        <x:v>Capacitor_SMD:C_0603_1608Metric</x:v>
      </x:c>
      <x:c r="N52" s="22" t="str">
        <x:v>예</x:v>
      </x:c>
      <x:c r="O52" s="22" t="str">
        <x:v>아니오</x:v>
      </x:c>
      <x:c r="P52" s="22" t="str">
        <x:v>아니오</x:v>
      </x:c>
    </x:row>
    <x:row r="53" ht="22" customHeight="1">
      <x:c r="A53" s="2" t="str">
        <x:v>UART_C4</x:v>
      </x:c>
      <x:c r="B53" s="2" t="str">
        <x:v>UART</x:v>
      </x:c>
      <x:c r="C53" s="2" t="str">
        <x:v>C4</x:v>
      </x:c>
      <x:c r="D53" s="2" t="str">
        <x:v>100 nF</x:v>
      </x:c>
      <x:c r="E53" s="2" t="str">
        <x:v>Bottom</x:v>
      </x:c>
      <x:c r="F53" s="2" t="str">
        <x:v>실장부품</x:v>
      </x:c>
      <x:c r="G53" s="23" t="str">
        <x:v>예</x:v>
      </x:c>
      <x:c r="H53" s="19" t="n">
        <x:f>K53+'좌표안내'!$D$7</x:f>
        <x:v>29.200000000000003</x:v>
      </x:c>
      <x:c r="I53" s="19" t="n">
        <x:f>L53+'좌표안내'!$E$7</x:f>
        <x:v>18.299999999999997</x:v>
      </x:c>
      <x:c r="J53" s="21" t="n">
        <x:v>-90</x:v>
      </x:c>
      <x:c r="K53" s="19" t="n">
        <x:f>'UART원본'!D11-'좌표안내'!$B$7</x:f>
        <x:v>24.200000000000003</x:v>
      </x:c>
      <x:c r="L53" s="19" t="n">
        <x:f>'좌표안내'!$C$7-'UART원본'!E11</x:f>
        <x:v>13.299999999999997</x:v>
      </x:c>
      <x:c r="M53" s="2" t="str">
        <x:v>Capacitor_SMD:C_0603_1608Metric</x:v>
      </x:c>
      <x:c r="N53" s="23" t="str">
        <x:v>예</x:v>
      </x:c>
      <x:c r="O53" s="23" t="str">
        <x:v>아니오</x:v>
      </x:c>
      <x:c r="P53" s="23" t="str">
        <x:v>아니오</x:v>
      </x:c>
    </x:row>
    <x:row r="54" ht="22" customHeight="1">
      <x:c r="A54" s="6" t="str">
        <x:v>UART_C5</x:v>
      </x:c>
      <x:c r="B54" s="6" t="str">
        <x:v>UART</x:v>
      </x:c>
      <x:c r="C54" s="6" t="str">
        <x:v>C5</x:v>
      </x:c>
      <x:c r="D54" s="6" t="str">
        <x:v>100 nF</x:v>
      </x:c>
      <x:c r="E54" s="6" t="str">
        <x:v>Bottom</x:v>
      </x:c>
      <x:c r="F54" s="6" t="str">
        <x:v>실장부품</x:v>
      </x:c>
      <x:c r="G54" s="22" t="str">
        <x:v>예</x:v>
      </x:c>
      <x:c r="H54" s="18" t="n">
        <x:f>K54+'좌표안내'!$D$7</x:f>
        <x:v>19.700000000000003</x:v>
      </x:c>
      <x:c r="I54" s="18" t="n">
        <x:f>L54+'좌표안내'!$E$7</x:f>
        <x:v>18.700000000000003</x:v>
      </x:c>
      <x:c r="J54" s="20" t="n">
        <x:v>180</x:v>
      </x:c>
      <x:c r="K54" s="18" t="n">
        <x:f>'UART원본'!D12-'좌표안내'!$B$7</x:f>
        <x:v>14.700000000000003</x:v>
      </x:c>
      <x:c r="L54" s="18" t="n">
        <x:f>'좌표안내'!$C$7-'UART원본'!E12</x:f>
        <x:v>13.700000000000003</x:v>
      </x:c>
      <x:c r="M54" s="6" t="str">
        <x:v>Capacitor_SMD:C_0603_1608Metric</x:v>
      </x:c>
      <x:c r="N54" s="22" t="str">
        <x:v>예</x:v>
      </x:c>
      <x:c r="O54" s="22" t="str">
        <x:v>아니오</x:v>
      </x:c>
      <x:c r="P54" s="22" t="str">
        <x:v>아니오</x:v>
      </x:c>
    </x:row>
    <x:row r="55" ht="22" customHeight="1">
      <x:c r="A55" s="2" t="str">
        <x:v>UART_C6</x:v>
      </x:c>
      <x:c r="B55" s="2" t="str">
        <x:v>UART</x:v>
      </x:c>
      <x:c r="C55" s="2" t="str">
        <x:v>C6</x:v>
      </x:c>
      <x:c r="D55" s="2" t="str">
        <x:v>22 µF</x:v>
      </x:c>
      <x:c r="E55" s="2" t="str">
        <x:v>Bottom</x:v>
      </x:c>
      <x:c r="F55" s="2" t="str">
        <x:v>실장부품</x:v>
      </x:c>
      <x:c r="G55" s="23" t="str">
        <x:v>예</x:v>
      </x:c>
      <x:c r="H55" s="19" t="n">
        <x:f>K55+'좌표안내'!$D$7</x:f>
        <x:v>40.8</x:v>
      </x:c>
      <x:c r="I55" s="19" t="n">
        <x:f>L55+'좌표안내'!$E$7</x:f>
        <x:v>23.900000000000006</x:v>
      </x:c>
      <x:c r="J55" s="21" t="n">
        <x:v>0</x:v>
      </x:c>
      <x:c r="K55" s="19" t="n">
        <x:f>'UART원본'!D13-'좌표안내'!$B$7</x:f>
        <x:v>35.8</x:v>
      </x:c>
      <x:c r="L55" s="19" t="n">
        <x:f>'좌표안내'!$C$7-'UART원본'!E13</x:f>
        <x:v>18.900000000000006</x:v>
      </x:c>
      <x:c r="M55" s="2" t="str">
        <x:v>Capacitor_SMD:C_0603_1608Metric</x:v>
      </x:c>
      <x:c r="N55" s="23" t="str">
        <x:v>예</x:v>
      </x:c>
      <x:c r="O55" s="23" t="str">
        <x:v>아니오</x:v>
      </x:c>
      <x:c r="P55" s="23" t="str">
        <x:v>아니오</x:v>
      </x:c>
    </x:row>
    <x:row r="56" ht="22" customHeight="1">
      <x:c r="A56" s="6" t="str">
        <x:v>UART_C7</x:v>
      </x:c>
      <x:c r="B56" s="6" t="str">
        <x:v>UART</x:v>
      </x:c>
      <x:c r="C56" s="6" t="str">
        <x:v>C7</x:v>
      </x:c>
      <x:c r="D56" s="6" t="str">
        <x:v>22 µF</x:v>
      </x:c>
      <x:c r="E56" s="6" t="str">
        <x:v>Bottom</x:v>
      </x:c>
      <x:c r="F56" s="6" t="str">
        <x:v>실장부품</x:v>
      </x:c>
      <x:c r="G56" s="22" t="str">
        <x:v>예</x:v>
      </x:c>
      <x:c r="H56" s="18" t="n">
        <x:f>K56+'좌표안내'!$D$7</x:f>
        <x:v>40.8</x:v>
      </x:c>
      <x:c r="I56" s="18" t="n">
        <x:f>L56+'좌표안내'!$E$7</x:f>
        <x:v>22.099999999999994</x:v>
      </x:c>
      <x:c r="J56" s="20" t="n">
        <x:v>0</x:v>
      </x:c>
      <x:c r="K56" s="18" t="n">
        <x:f>'UART원본'!D14-'좌표안내'!$B$7</x:f>
        <x:v>35.8</x:v>
      </x:c>
      <x:c r="L56" s="18" t="n">
        <x:f>'좌표안내'!$C$7-'UART원본'!E14</x:f>
        <x:v>17.099999999999994</x:v>
      </x:c>
      <x:c r="M56" s="6" t="str">
        <x:v>Capacitor_SMD:C_0603_1608Metric</x:v>
      </x:c>
      <x:c r="N56" s="22" t="str">
        <x:v>예</x:v>
      </x:c>
      <x:c r="O56" s="22" t="str">
        <x:v>아니오</x:v>
      </x:c>
      <x:c r="P56" s="22" t="str">
        <x:v>아니오</x:v>
      </x:c>
    </x:row>
    <x:row r="57" ht="22" customHeight="1">
      <x:c r="A57" s="2" t="str">
        <x:v>UART_C8</x:v>
      </x:c>
      <x:c r="B57" s="2" t="str">
        <x:v>UART</x:v>
      </x:c>
      <x:c r="C57" s="2" t="str">
        <x:v>C8</x:v>
      </x:c>
      <x:c r="D57" s="2" t="str">
        <x:v>22 µF</x:v>
      </x:c>
      <x:c r="E57" s="2" t="str">
        <x:v>Bottom</x:v>
      </x:c>
      <x:c r="F57" s="2" t="str">
        <x:v>실장부품</x:v>
      </x:c>
      <x:c r="G57" s="23" t="str">
        <x:v>예</x:v>
      </x:c>
      <x:c r="H57" s="19" t="n">
        <x:f>K57+'좌표안내'!$D$7</x:f>
        <x:v>40.8</x:v>
      </x:c>
      <x:c r="I57" s="19" t="n">
        <x:f>L57+'좌표안내'!$E$7</x:f>
        <x:v>20.299999999999997</x:v>
      </x:c>
      <x:c r="J57" s="21" t="n">
        <x:v>0</x:v>
      </x:c>
      <x:c r="K57" s="19" t="n">
        <x:f>'UART원본'!D15-'좌표안내'!$B$7</x:f>
        <x:v>35.8</x:v>
      </x:c>
      <x:c r="L57" s="19" t="n">
        <x:f>'좌표안내'!$C$7-'UART원본'!E15</x:f>
        <x:v>15.299999999999997</x:v>
      </x:c>
      <x:c r="M57" s="2" t="str">
        <x:v>Capacitor_SMD:C_0603_1608Metric</x:v>
      </x:c>
      <x:c r="N57" s="23" t="str">
        <x:v>예</x:v>
      </x:c>
      <x:c r="O57" s="23" t="str">
        <x:v>아니오</x:v>
      </x:c>
      <x:c r="P57" s="23" t="str">
        <x:v>아니오</x:v>
      </x:c>
    </x:row>
    <x:row r="58" ht="22" customHeight="1">
      <x:c r="A58" s="6" t="str">
        <x:v>UART_D1</x:v>
      </x:c>
      <x:c r="B58" s="6" t="str">
        <x:v>UART</x:v>
      </x:c>
      <x:c r="C58" s="6" t="str">
        <x:v>D1</x:v>
      </x:c>
      <x:c r="D58" s="6" t="str">
        <x:v>CDSOT23-SM712</x:v>
      </x:c>
      <x:c r="E58" s="6" t="str">
        <x:v>Bottom</x:v>
      </x:c>
      <x:c r="F58" s="6" t="str">
        <x:v>실장부품</x:v>
      </x:c>
      <x:c r="G58" s="22" t="str">
        <x:v>예</x:v>
      </x:c>
      <x:c r="H58" s="18" t="n">
        <x:f>K58+'좌표안내'!$D$7</x:f>
        <x:v>23</x:v>
      </x:c>
      <x:c r="I58" s="18" t="n">
        <x:f>L58+'좌표안내'!$E$7</x:f>
        <x:v>9.150000000000006</x:v>
      </x:c>
      <x:c r="J58" s="20" t="n">
        <x:v>-90</x:v>
      </x:c>
      <x:c r="K58" s="18" t="n">
        <x:f>'UART원본'!D16-'좌표안내'!$B$7</x:f>
        <x:v>18</x:v>
      </x:c>
      <x:c r="L58" s="18" t="n">
        <x:f>'좌표안내'!$C$7-'UART원본'!E16</x:f>
        <x:v>4.150000000000006</x:v>
      </x:c>
      <x:c r="M58" s="6" t="str">
        <x:v>Package_TO_SOT_SMD:SOT-23</x:v>
      </x:c>
      <x:c r="N58" s="22" t="str">
        <x:v>예</x:v>
      </x:c>
      <x:c r="O58" s="22" t="str">
        <x:v>아니오</x:v>
      </x:c>
      <x:c r="P58" s="22" t="str">
        <x:v>아니오</x:v>
      </x:c>
    </x:row>
    <x:row r="59" ht="22" customHeight="1">
      <x:c r="A59" s="2" t="str">
        <x:v>UART_D2</x:v>
      </x:c>
      <x:c r="B59" s="2" t="str">
        <x:v>UART</x:v>
      </x:c>
      <x:c r="C59" s="2" t="str">
        <x:v>D2</x:v>
      </x:c>
      <x:c r="D59" s="2" t="str">
        <x:v>CDSOT23-SM712</x:v>
      </x:c>
      <x:c r="E59" s="2" t="str">
        <x:v>Bottom</x:v>
      </x:c>
      <x:c r="F59" s="2" t="str">
        <x:v>실장부품</x:v>
      </x:c>
      <x:c r="G59" s="23" t="str">
        <x:v>예</x:v>
      </x:c>
      <x:c r="H59" s="19" t="n">
        <x:f>K59+'좌표안내'!$D$7</x:f>
        <x:v>26.599999999999994</x:v>
      </x:c>
      <x:c r="I59" s="19" t="n">
        <x:f>L59+'좌표안내'!$E$7</x:f>
        <x:v>9.150000000000006</x:v>
      </x:c>
      <x:c r="J59" s="21" t="n">
        <x:v>-90</x:v>
      </x:c>
      <x:c r="K59" s="19" t="n">
        <x:f>'UART원본'!D17-'좌표안내'!$B$7</x:f>
        <x:v>21.599999999999994</x:v>
      </x:c>
      <x:c r="L59" s="19" t="n">
        <x:f>'좌표안내'!$C$7-'UART원본'!E17</x:f>
        <x:v>4.150000000000006</x:v>
      </x:c>
      <x:c r="M59" s="2" t="str">
        <x:v>Package_TO_SOT_SMD:SOT-23</x:v>
      </x:c>
      <x:c r="N59" s="23" t="str">
        <x:v>예</x:v>
      </x:c>
      <x:c r="O59" s="23" t="str">
        <x:v>아니오</x:v>
      </x:c>
      <x:c r="P59" s="23" t="str">
        <x:v>아니오</x:v>
      </x:c>
    </x:row>
    <x:row r="60" ht="22" customHeight="1">
      <x:c r="A60" s="6" t="str">
        <x:v>UART_D3</x:v>
      </x:c>
      <x:c r="B60" s="6" t="str">
        <x:v>UART</x:v>
      </x:c>
      <x:c r="C60" s="6" t="str">
        <x:v>D3</x:v>
      </x:c>
      <x:c r="D60" s="6" t="str">
        <x:v>ESD351DPYR</x:v>
      </x:c>
      <x:c r="E60" s="6" t="str">
        <x:v>Bottom</x:v>
      </x:c>
      <x:c r="F60" s="6" t="str">
        <x:v>실장부품</x:v>
      </x:c>
      <x:c r="G60" s="22" t="str">
        <x:v>예</x:v>
      </x:c>
      <x:c r="H60" s="18" t="n">
        <x:f>K60+'좌표안내'!$D$7</x:f>
        <x:v>39.55</x:v>
      </x:c>
      <x:c r="I60" s="18" t="n">
        <x:f>L60+'좌표안내'!$E$7</x:f>
        <x:v>8.099999999999994</x:v>
      </x:c>
      <x:c r="J60" s="20" t="n">
        <x:v>180</x:v>
      </x:c>
      <x:c r="K60" s="18" t="n">
        <x:f>'UART원본'!D18-'좌표안내'!$B$7</x:f>
        <x:v>34.55</x:v>
      </x:c>
      <x:c r="L60" s="18" t="n">
        <x:f>'좌표안내'!$C$7-'UART원본'!E18</x:f>
        <x:v>3.0999999999999943</x:v>
      </x:c>
      <x:c r="M60" s="6" t="str">
        <x:v>Adapter:TI_DPY0002A_1x0.6</x:v>
      </x:c>
      <x:c r="N60" s="22" t="str">
        <x:v>예</x:v>
      </x:c>
      <x:c r="O60" s="22" t="str">
        <x:v>아니오</x:v>
      </x:c>
      <x:c r="P60" s="22" t="str">
        <x:v>아니오</x:v>
      </x:c>
    </x:row>
    <x:row r="61" ht="22" customHeight="1">
      <x:c r="A61" s="2" t="str">
        <x:v>UART_D4</x:v>
      </x:c>
      <x:c r="B61" s="2" t="str">
        <x:v>UART</x:v>
      </x:c>
      <x:c r="C61" s="2" t="str">
        <x:v>D4</x:v>
      </x:c>
      <x:c r="D61" s="2" t="str">
        <x:v>ESD351DPYR</x:v>
      </x:c>
      <x:c r="E61" s="2" t="str">
        <x:v>Bottom</x:v>
      </x:c>
      <x:c r="F61" s="2" t="str">
        <x:v>실장부품</x:v>
      </x:c>
      <x:c r="G61" s="23" t="str">
        <x:v>예</x:v>
      </x:c>
      <x:c r="H61" s="19" t="n">
        <x:f>K61+'좌표안내'!$D$7</x:f>
        <x:v>42.05</x:v>
      </x:c>
      <x:c r="I61" s="19" t="n">
        <x:f>L61+'좌표안내'!$E$7</x:f>
        <x:v>8.099999999999994</x:v>
      </x:c>
      <x:c r="J61" s="21" t="n">
        <x:v>0</x:v>
      </x:c>
      <x:c r="K61" s="19" t="n">
        <x:f>'UART원본'!D19-'좌표안내'!$B$7</x:f>
        <x:v>37.05</x:v>
      </x:c>
      <x:c r="L61" s="19" t="n">
        <x:f>'좌표안내'!$C$7-'UART원본'!E19</x:f>
        <x:v>3.0999999999999943</x:v>
      </x:c>
      <x:c r="M61" s="2" t="str">
        <x:v>Adapter:TI_DPY0002A_1x0.6</x:v>
      </x:c>
      <x:c r="N61" s="23" t="str">
        <x:v>예</x:v>
      </x:c>
      <x:c r="O61" s="23" t="str">
        <x:v>아니오</x:v>
      </x:c>
      <x:c r="P61" s="23" t="str">
        <x:v>아니오</x:v>
      </x:c>
    </x:row>
    <x:row r="62" ht="22" customHeight="1">
      <x:c r="A62" s="6" t="str">
        <x:v>UART_FB1</x:v>
      </x:c>
      <x:c r="B62" s="6" t="str">
        <x:v>UART</x:v>
      </x:c>
      <x:c r="C62" s="6" t="str">
        <x:v>FB1</x:v>
      </x:c>
      <x:c r="D62" s="6" t="str">
        <x:v>BLM15PX601SN1D</x:v>
      </x:c>
      <x:c r="E62" s="6" t="str">
        <x:v>Bottom</x:v>
      </x:c>
      <x:c r="F62" s="6" t="str">
        <x:v>실장부품</x:v>
      </x:c>
      <x:c r="G62" s="22" t="str">
        <x:v>예</x:v>
      </x:c>
      <x:c r="H62" s="18" t="n">
        <x:f>K62+'좌표안내'!$D$7</x:f>
        <x:v>23.375</x:v>
      </x:c>
      <x:c r="I62" s="18" t="n">
        <x:f>L62+'좌표안내'!$E$7</x:f>
        <x:v>25.799999999999997</x:v>
      </x:c>
      <x:c r="J62" s="20" t="n">
        <x:v>0</x:v>
      </x:c>
      <x:c r="K62" s="18" t="n">
        <x:f>'UART원본'!D20-'좌표안내'!$B$7</x:f>
        <x:v>18.375</x:v>
      </x:c>
      <x:c r="L62" s="18" t="n">
        <x:f>'좌표안내'!$C$7-'UART원본'!E20</x:f>
        <x:v>20.799999999999997</x:v>
      </x:c>
      <x:c r="M62" s="6" t="str">
        <x:v>Inductor_SMD:L_0402_1005Metric</x:v>
      </x:c>
      <x:c r="N62" s="22" t="str">
        <x:v>예</x:v>
      </x:c>
      <x:c r="O62" s="22" t="str">
        <x:v>아니오</x:v>
      </x:c>
      <x:c r="P62" s="22" t="str">
        <x:v>아니오</x:v>
      </x:c>
    </x:row>
    <x:row r="63" ht="22" customHeight="1">
      <x:c r="A63" s="2" t="str">
        <x:v>UART_H1</x:v>
      </x:c>
      <x:c r="B63" s="2" t="str">
        <x:v>UART</x:v>
      </x:c>
      <x:c r="C63" s="2" t="str">
        <x:v>H1</x:v>
      </x:c>
      <x:c r="D63" s="2" t="str">
        <x:v>Ø3.0 mm NPTH</x:v>
      </x:c>
      <x:c r="E63" s="2" t="str">
        <x:v>Bottom</x:v>
      </x:c>
      <x:c r="F63" s="2" t="str">
        <x:v>기구홀</x:v>
      </x:c>
      <x:c r="G63" s="23" t="str">
        <x:v>아니오</x:v>
      </x:c>
      <x:c r="H63" s="19" t="n">
        <x:f>K63+'좌표안내'!$D$7</x:f>
        <x:v>11.5</x:v>
      </x:c>
      <x:c r="I63" s="19" t="n">
        <x:f>L63+'좌표안내'!$E$7</x:f>
        <x:v>23.5</x:v>
      </x:c>
      <x:c r="J63" s="21" t="n">
        <x:v>180</x:v>
      </x:c>
      <x:c r="K63" s="19" t="n">
        <x:f>'UART원본'!D21-'좌표안내'!$B$7</x:f>
        <x:v>6.5</x:v>
      </x:c>
      <x:c r="L63" s="19" t="n">
        <x:f>'좌표안내'!$C$7-'UART원본'!E21</x:f>
        <x:v>18.5</x:v>
      </x:c>
      <x:c r="M63" s="2" t="str">
        <x:v>Adapter:MountingHole_3mm_Clearance11mm</x:v>
      </x:c>
      <x:c r="N63" s="23" t="str">
        <x:v>아니오</x:v>
      </x:c>
      <x:c r="O63" s="23" t="str">
        <x:v>아니오</x:v>
      </x:c>
      <x:c r="P63" s="23" t="str">
        <x:v>예</x:v>
      </x:c>
    </x:row>
    <x:row r="64" ht="22" customHeight="1">
      <x:c r="A64" s="6" t="str">
        <x:v>UART_H2</x:v>
      </x:c>
      <x:c r="B64" s="6" t="str">
        <x:v>UART</x:v>
      </x:c>
      <x:c r="C64" s="6" t="str">
        <x:v>H2</x:v>
      </x:c>
      <x:c r="D64" s="6" t="str">
        <x:v>Ø3.0 mm NPTH</x:v>
      </x:c>
      <x:c r="E64" s="6" t="str">
        <x:v>Bottom</x:v>
      </x:c>
      <x:c r="F64" s="6" t="str">
        <x:v>기구홀</x:v>
      </x:c>
      <x:c r="G64" s="22" t="str">
        <x:v>아니오</x:v>
      </x:c>
      <x:c r="H64" s="18" t="n">
        <x:f>K64+'좌표안내'!$D$7</x:f>
        <x:v>50.5</x:v>
      </x:c>
      <x:c r="I64" s="18" t="n">
        <x:f>L64+'좌표안내'!$E$7</x:f>
        <x:v>23.5</x:v>
      </x:c>
      <x:c r="J64" s="20" t="n">
        <x:v>180</x:v>
      </x:c>
      <x:c r="K64" s="18" t="n">
        <x:f>'UART원본'!D22-'좌표안내'!$B$7</x:f>
        <x:v>45.5</x:v>
      </x:c>
      <x:c r="L64" s="18" t="n">
        <x:f>'좌표안내'!$C$7-'UART원본'!E22</x:f>
        <x:v>18.5</x:v>
      </x:c>
      <x:c r="M64" s="6" t="str">
        <x:v>Adapter:MountingHole_3mm_Clearance11mm</x:v>
      </x:c>
      <x:c r="N64" s="22" t="str">
        <x:v>아니오</x:v>
      </x:c>
      <x:c r="O64" s="22" t="str">
        <x:v>아니오</x:v>
      </x:c>
      <x:c r="P64" s="22" t="str">
        <x:v>예</x:v>
      </x:c>
    </x:row>
    <x:row r="65" ht="22" customHeight="1">
      <x:c r="A65" s="2" t="str">
        <x:v>UART_H3</x:v>
      </x:c>
      <x:c r="B65" s="2" t="str">
        <x:v>UART</x:v>
      </x:c>
      <x:c r="C65" s="2" t="str">
        <x:v>H3</x:v>
      </x:c>
      <x:c r="D65" s="2" t="str">
        <x:v>Ø3.0 mm NPTH</x:v>
      </x:c>
      <x:c r="E65" s="2" t="str">
        <x:v>Bottom</x:v>
      </x:c>
      <x:c r="F65" s="2" t="str">
        <x:v>기구홀</x:v>
      </x:c>
      <x:c r="G65" s="23" t="str">
        <x:v>아니오</x:v>
      </x:c>
      <x:c r="H65" s="19" t="n">
        <x:f>K65+'좌표안내'!$D$7</x:f>
        <x:v>11.5</x:v>
      </x:c>
      <x:c r="I65" s="19" t="n">
        <x:f>L65+'좌표안내'!$E$7</x:f>
        <x:v>11.5</x:v>
      </x:c>
      <x:c r="J65" s="21" t="n">
        <x:v>180</x:v>
      </x:c>
      <x:c r="K65" s="19" t="n">
        <x:f>'UART원본'!D23-'좌표안내'!$B$7</x:f>
        <x:v>6.5</x:v>
      </x:c>
      <x:c r="L65" s="19" t="n">
        <x:f>'좌표안내'!$C$7-'UART원본'!E23</x:f>
        <x:v>6.5</x:v>
      </x:c>
      <x:c r="M65" s="2" t="str">
        <x:v>Adapter:MountingHole_3mm_Clearance11mm</x:v>
      </x:c>
      <x:c r="N65" s="23" t="str">
        <x:v>아니오</x:v>
      </x:c>
      <x:c r="O65" s="23" t="str">
        <x:v>아니오</x:v>
      </x:c>
      <x:c r="P65" s="23" t="str">
        <x:v>예</x:v>
      </x:c>
    </x:row>
    <x:row r="66" ht="22" customHeight="1">
      <x:c r="A66" s="6" t="str">
        <x:v>UART_H4</x:v>
      </x:c>
      <x:c r="B66" s="6" t="str">
        <x:v>UART</x:v>
      </x:c>
      <x:c r="C66" s="6" t="str">
        <x:v>H4</x:v>
      </x:c>
      <x:c r="D66" s="6" t="str">
        <x:v>Ø3.0 mm NPTH</x:v>
      </x:c>
      <x:c r="E66" s="6" t="str">
        <x:v>Bottom</x:v>
      </x:c>
      <x:c r="F66" s="6" t="str">
        <x:v>기구홀</x:v>
      </x:c>
      <x:c r="G66" s="22" t="str">
        <x:v>아니오</x:v>
      </x:c>
      <x:c r="H66" s="18" t="n">
        <x:f>K66+'좌표안내'!$D$7</x:f>
        <x:v>50.5</x:v>
      </x:c>
      <x:c r="I66" s="18" t="n">
        <x:f>L66+'좌표안내'!$E$7</x:f>
        <x:v>11.5</x:v>
      </x:c>
      <x:c r="J66" s="20" t="n">
        <x:v>180</x:v>
      </x:c>
      <x:c r="K66" s="18" t="n">
        <x:f>'UART원본'!D24-'좌표안내'!$B$7</x:f>
        <x:v>45.5</x:v>
      </x:c>
      <x:c r="L66" s="18" t="n">
        <x:f>'좌표안내'!$C$7-'UART원본'!E24</x:f>
        <x:v>6.5</x:v>
      </x:c>
      <x:c r="M66" s="6" t="str">
        <x:v>Adapter:MountingHole_3mm_Clearance11mm</x:v>
      </x:c>
      <x:c r="N66" s="22" t="str">
        <x:v>아니오</x:v>
      </x:c>
      <x:c r="O66" s="22" t="str">
        <x:v>아니오</x:v>
      </x:c>
      <x:c r="P66" s="22" t="str">
        <x:v>예</x:v>
      </x:c>
    </x:row>
    <x:row r="67" ht="22" customHeight="1">
      <x:c r="A67" s="2" t="str">
        <x:v>UART_J1</x:v>
      </x:c>
      <x:c r="B67" s="2" t="str">
        <x:v>UART</x:v>
      </x:c>
      <x:c r="C67" s="2" t="str">
        <x:v>J1</x:v>
      </x:c>
      <x:c r="D67" s="2" t="str">
        <x:v>9V INPUT</x:v>
      </x:c>
      <x:c r="E67" s="2" t="str">
        <x:v>Bottom</x:v>
      </x:c>
      <x:c r="F67" s="2" t="str">
        <x:v>납땜/검사 패드</x:v>
      </x:c>
      <x:c r="G67" s="23" t="str">
        <x:v>아니오</x:v>
      </x:c>
      <x:c r="H67" s="19" t="n">
        <x:f>K67+'좌표안내'!$D$7</x:f>
        <x:v>19.5</x:v>
      </x:c>
      <x:c r="I67" s="19" t="n">
        <x:f>L67+'좌표안내'!$E$7</x:f>
        <x:v>28.75</x:v>
      </x:c>
      <x:c r="J67" s="21" t="n">
        <x:v>0</x:v>
      </x:c>
      <x:c r="K67" s="19" t="n">
        <x:f>'UART원본'!D25-'좌표안내'!$B$7</x:f>
        <x:v>14.5</x:v>
      </x:c>
      <x:c r="L67" s="19" t="n">
        <x:f>'좌표안내'!$C$7-'UART원본'!E25</x:f>
        <x:v>23.75</x:v>
      </x:c>
      <x:c r="M67" s="2" t="str">
        <x:v>Adapter:WirePads_1x02_P1.8mm_D1.2</x:v>
      </x:c>
      <x:c r="N67" s="23" t="str">
        <x:v>예</x:v>
      </x:c>
      <x:c r="O67" s="23" t="str">
        <x:v>아니오</x:v>
      </x:c>
      <x:c r="P67" s="23" t="str">
        <x:v>아니오</x:v>
      </x:c>
    </x:row>
    <x:row r="68" ht="22" customHeight="1">
      <x:c r="A68" s="6" t="str">
        <x:v>UART_J2</x:v>
      </x:c>
      <x:c r="B68" s="6" t="str">
        <x:v>UART</x:v>
      </x:c>
      <x:c r="C68" s="6" t="str">
        <x:v>J2</x:v>
      </x:c>
      <x:c r="D68" s="6" t="str">
        <x:v>PPG / 6 WIRES</x:v>
      </x:c>
      <x:c r="E68" s="6" t="str">
        <x:v>Bottom</x:v>
      </x:c>
      <x:c r="F68" s="6" t="str">
        <x:v>납땜/검사 패드</x:v>
      </x:c>
      <x:c r="G68" s="22" t="str">
        <x:v>아니오</x:v>
      </x:c>
      <x:c r="H68" s="18" t="n">
        <x:f>K68+'좌표안내'!$D$7</x:f>
        <x:v>18.5</x:v>
      </x:c>
      <x:c r="I68" s="18" t="n">
        <x:f>L68+'좌표안내'!$E$7</x:f>
        <x:v>6.25</x:v>
      </x:c>
      <x:c r="J68" s="20" t="n">
        <x:v>0</x:v>
      </x:c>
      <x:c r="K68" s="18" t="n">
        <x:f>'UART원본'!D26-'좌표안내'!$B$7</x:f>
        <x:v>13.5</x:v>
      </x:c>
      <x:c r="L68" s="18" t="n">
        <x:f>'좌표안내'!$C$7-'UART원본'!E26</x:f>
        <x:v>1.25</x:v>
      </x:c>
      <x:c r="M68" s="6" t="str">
        <x:v>Adapter:WirePads_1x06_P1.8mm_D1.2</x:v>
      </x:c>
      <x:c r="N68" s="22" t="str">
        <x:v>예</x:v>
      </x:c>
      <x:c r="O68" s="22" t="str">
        <x:v>아니오</x:v>
      </x:c>
      <x:c r="P68" s="22" t="str">
        <x:v>아니오</x:v>
      </x:c>
    </x:row>
    <x:row r="69" ht="22" customHeight="1">
      <x:c r="A69" s="2" t="str">
        <x:v>UART_J3</x:v>
      </x:c>
      <x:c r="B69" s="2" t="str">
        <x:v>UART</x:v>
      </x:c>
      <x:c r="C69" s="2" t="str">
        <x:v>J3</x:v>
      </x:c>
      <x:c r="D69" s="2" t="str">
        <x:v>UART / 3.3V OUT</x:v>
      </x:c>
      <x:c r="E69" s="2" t="str">
        <x:v>Bottom</x:v>
      </x:c>
      <x:c r="F69" s="2" t="str">
        <x:v>납땜/검사 패드</x:v>
      </x:c>
      <x:c r="G69" s="23" t="str">
        <x:v>아니오</x:v>
      </x:c>
      <x:c r="H69" s="19" t="n">
        <x:f>K69+'좌표안내'!$D$7</x:f>
        <x:v>38.099999999999994</x:v>
      </x:c>
      <x:c r="I69" s="19" t="n">
        <x:f>L69+'좌표안내'!$E$7</x:f>
        <x:v>6.25</x:v>
      </x:c>
      <x:c r="J69" s="21" t="n">
        <x:v>0</x:v>
      </x:c>
      <x:c r="K69" s="19" t="n">
        <x:f>'UART원본'!D27-'좌표안내'!$B$7</x:f>
        <x:v>33.099999999999994</x:v>
      </x:c>
      <x:c r="L69" s="19" t="n">
        <x:f>'좌표안내'!$C$7-'UART원본'!E27</x:f>
        <x:v>1.25</x:v>
      </x:c>
      <x:c r="M69" s="2" t="str">
        <x:v>Adapter:WirePads_1x04_P1.8mm_D1.2</x:v>
      </x:c>
      <x:c r="N69" s="23" t="str">
        <x:v>예</x:v>
      </x:c>
      <x:c r="O69" s="23" t="str">
        <x:v>아니오</x:v>
      </x:c>
      <x:c r="P69" s="23" t="str">
        <x:v>아니오</x:v>
      </x:c>
    </x:row>
    <x:row r="70" ht="22" customHeight="1">
      <x:c r="A70" s="6" t="str">
        <x:v>UART_R1</x:v>
      </x:c>
      <x:c r="B70" s="6" t="str">
        <x:v>UART</x:v>
      </x:c>
      <x:c r="C70" s="6" t="str">
        <x:v>R1</x:v>
      </x:c>
      <x:c r="D70" s="6" t="str">
        <x:v>120 Ω</x:v>
      </x:c>
      <x:c r="E70" s="6" t="str">
        <x:v>Bottom</x:v>
      </x:c>
      <x:c r="F70" s="6" t="str">
        <x:v>실장부품</x:v>
      </x:c>
      <x:c r="G70" s="22" t="str">
        <x:v>예</x:v>
      </x:c>
      <x:c r="H70" s="18" t="n">
        <x:f>K70+'좌표안내'!$D$7</x:f>
        <x:v>23</x:v>
      </x:c>
      <x:c r="I70" s="18" t="n">
        <x:f>L70+'좌표안내'!$E$7</x:f>
        <x:v>11.849999999999994</x:v>
      </x:c>
      <x:c r="J70" s="20" t="n">
        <x:v>0</x:v>
      </x:c>
      <x:c r="K70" s="18" t="n">
        <x:f>'UART원본'!D28-'좌표안내'!$B$7</x:f>
        <x:v>18</x:v>
      </x:c>
      <x:c r="L70" s="18" t="n">
        <x:f>'좌표안내'!$C$7-'UART원본'!E28</x:f>
        <x:v>6.849999999999994</x:v>
      </x:c>
      <x:c r="M70" s="6" t="str">
        <x:v>Resistor_SMD:R_0603_1608Metric</x:v>
      </x:c>
      <x:c r="N70" s="22" t="str">
        <x:v>예</x:v>
      </x:c>
      <x:c r="O70" s="22" t="str">
        <x:v>아니오</x:v>
      </x:c>
      <x:c r="P70" s="22" t="str">
        <x:v>아니오</x:v>
      </x:c>
    </x:row>
    <x:row r="71" ht="22" customHeight="1">
      <x:c r="A71" s="2" t="str">
        <x:v>UART_R2</x:v>
      </x:c>
      <x:c r="B71" s="2" t="str">
        <x:v>UART</x:v>
      </x:c>
      <x:c r="C71" s="2" t="str">
        <x:v>R2</x:v>
      </x:c>
      <x:c r="D71" s="2" t="str">
        <x:v>22 Ω</x:v>
      </x:c>
      <x:c r="E71" s="2" t="str">
        <x:v>Bottom</x:v>
      </x:c>
      <x:c r="F71" s="2" t="str">
        <x:v>실장부품</x:v>
      </x:c>
      <x:c r="G71" s="23" t="str">
        <x:v>예</x:v>
      </x:c>
      <x:c r="H71" s="19" t="n">
        <x:f>K71+'좌표안내'!$D$7</x:f>
        <x:v>22.049999999999997</x:v>
      </x:c>
      <x:c r="I71" s="19" t="n">
        <x:f>L71+'좌표안내'!$E$7</x:f>
        <x:v>14.099999999999994</x:v>
      </x:c>
      <x:c r="J71" s="21" t="n">
        <x:v>90</x:v>
      </x:c>
      <x:c r="K71" s="19" t="n">
        <x:f>'UART원본'!D29-'좌표안내'!$B$7</x:f>
        <x:v>17.049999999999997</x:v>
      </x:c>
      <x:c r="L71" s="19" t="n">
        <x:f>'좌표안내'!$C$7-'UART원본'!E29</x:f>
        <x:v>9.099999999999994</x:v>
      </x:c>
      <x:c r="M71" s="2" t="str">
        <x:v>Resistor_SMD:R_0603_1608Metric</x:v>
      </x:c>
      <x:c r="N71" s="23" t="str">
        <x:v>예</x:v>
      </x:c>
      <x:c r="O71" s="23" t="str">
        <x:v>아니오</x:v>
      </x:c>
      <x:c r="P71" s="23" t="str">
        <x:v>아니오</x:v>
      </x:c>
    </x:row>
    <x:row r="72" ht="22" customHeight="1">
      <x:c r="A72" s="6" t="str">
        <x:v>UART_R3</x:v>
      </x:c>
      <x:c r="B72" s="6" t="str">
        <x:v>UART</x:v>
      </x:c>
      <x:c r="C72" s="6" t="str">
        <x:v>R3</x:v>
      </x:c>
      <x:c r="D72" s="6" t="str">
        <x:v>22 Ω</x:v>
      </x:c>
      <x:c r="E72" s="6" t="str">
        <x:v>Bottom</x:v>
      </x:c>
      <x:c r="F72" s="6" t="str">
        <x:v>실장부품</x:v>
      </x:c>
      <x:c r="G72" s="22" t="str">
        <x:v>예</x:v>
      </x:c>
      <x:c r="H72" s="18" t="n">
        <x:f>K72+'좌표안내'!$D$7</x:f>
        <x:v>23.950000000000003</x:v>
      </x:c>
      <x:c r="I72" s="18" t="n">
        <x:f>L72+'좌표안내'!$E$7</x:f>
        <x:v>14.099999999999994</x:v>
      </x:c>
      <x:c r="J72" s="20" t="n">
        <x:v>90</x:v>
      </x:c>
      <x:c r="K72" s="18" t="n">
        <x:f>'UART원본'!D30-'좌표안내'!$B$7</x:f>
        <x:v>18.950000000000003</x:v>
      </x:c>
      <x:c r="L72" s="18" t="n">
        <x:f>'좌표안내'!$C$7-'UART원본'!E30</x:f>
        <x:v>9.099999999999994</x:v>
      </x:c>
      <x:c r="M72" s="6" t="str">
        <x:v>Resistor_SMD:R_0603_1608Metric</x:v>
      </x:c>
      <x:c r="N72" s="22" t="str">
        <x:v>예</x:v>
      </x:c>
      <x:c r="O72" s="22" t="str">
        <x:v>아니오</x:v>
      </x:c>
      <x:c r="P72" s="22" t="str">
        <x:v>아니오</x:v>
      </x:c>
    </x:row>
    <x:row r="73" ht="22" customHeight="1">
      <x:c r="A73" s="2" t="str">
        <x:v>UART_R4</x:v>
      </x:c>
      <x:c r="B73" s="2" t="str">
        <x:v>UART</x:v>
      </x:c>
      <x:c r="C73" s="2" t="str">
        <x:v>R4</x:v>
      </x:c>
      <x:c r="D73" s="2" t="str">
        <x:v>22 Ω</x:v>
      </x:c>
      <x:c r="E73" s="2" t="str">
        <x:v>Bottom</x:v>
      </x:c>
      <x:c r="F73" s="2" t="str">
        <x:v>실장부품</x:v>
      </x:c>
      <x:c r="G73" s="23" t="str">
        <x:v>예</x:v>
      </x:c>
      <x:c r="H73" s="19" t="n">
        <x:f>K73+'좌표안내'!$D$7</x:f>
        <x:v>25.650000000000006</x:v>
      </x:c>
      <x:c r="I73" s="19" t="n">
        <x:f>L73+'좌표안내'!$E$7</x:f>
        <x:v>14.099999999999994</x:v>
      </x:c>
      <x:c r="J73" s="21" t="n">
        <x:v>-90</x:v>
      </x:c>
      <x:c r="K73" s="19" t="n">
        <x:f>'UART원본'!D31-'좌표안내'!$B$7</x:f>
        <x:v>20.650000000000006</x:v>
      </x:c>
      <x:c r="L73" s="19" t="n">
        <x:f>'좌표안내'!$C$7-'UART원본'!E31</x:f>
        <x:v>9.099999999999994</x:v>
      </x:c>
      <x:c r="M73" s="2" t="str">
        <x:v>Resistor_SMD:R_0603_1608Metric</x:v>
      </x:c>
      <x:c r="N73" s="23" t="str">
        <x:v>예</x:v>
      </x:c>
      <x:c r="O73" s="23" t="str">
        <x:v>아니오</x:v>
      </x:c>
      <x:c r="P73" s="23" t="str">
        <x:v>아니오</x:v>
      </x:c>
    </x:row>
    <x:row r="74" ht="22" customHeight="1">
      <x:c r="A74" s="6" t="str">
        <x:v>UART_R5</x:v>
      </x:c>
      <x:c r="B74" s="6" t="str">
        <x:v>UART</x:v>
      </x:c>
      <x:c r="C74" s="6" t="str">
        <x:v>R5</x:v>
      </x:c>
      <x:c r="D74" s="6" t="str">
        <x:v>22 Ω</x:v>
      </x:c>
      <x:c r="E74" s="6" t="str">
        <x:v>Bottom</x:v>
      </x:c>
      <x:c r="F74" s="6" t="str">
        <x:v>실장부품</x:v>
      </x:c>
      <x:c r="G74" s="22" t="str">
        <x:v>예</x:v>
      </x:c>
      <x:c r="H74" s="18" t="n">
        <x:f>K74+'좌표안내'!$D$7</x:f>
        <x:v>27.549999999999997</x:v>
      </x:c>
      <x:c r="I74" s="18" t="n">
        <x:f>L74+'좌표안내'!$E$7</x:f>
        <x:v>14.099999999999994</x:v>
      </x:c>
      <x:c r="J74" s="20" t="n">
        <x:v>-90</x:v>
      </x:c>
      <x:c r="K74" s="18" t="n">
        <x:f>'UART원본'!D32-'좌표안내'!$B$7</x:f>
        <x:v>22.549999999999997</x:v>
      </x:c>
      <x:c r="L74" s="18" t="n">
        <x:f>'좌표안내'!$C$7-'UART원본'!E32</x:f>
        <x:v>9.099999999999994</x:v>
      </x:c>
      <x:c r="M74" s="6" t="str">
        <x:v>Resistor_SMD:R_0603_1608Metric</x:v>
      </x:c>
      <x:c r="N74" s="22" t="str">
        <x:v>예</x:v>
      </x:c>
      <x:c r="O74" s="22" t="str">
        <x:v>아니오</x:v>
      </x:c>
      <x:c r="P74" s="22" t="str">
        <x:v>아니오</x:v>
      </x:c>
    </x:row>
    <x:row r="75" ht="22" customHeight="1">
      <x:c r="A75" s="2" t="str">
        <x:v>UART_R6</x:v>
      </x:c>
      <x:c r="B75" s="2" t="str">
        <x:v>UART</x:v>
      </x:c>
      <x:c r="C75" s="2" t="str">
        <x:v>R6</x:v>
      </x:c>
      <x:c r="D75" s="2" t="str">
        <x:v>10 kΩ</x:v>
      </x:c>
      <x:c r="E75" s="2" t="str">
        <x:v>Bottom</x:v>
      </x:c>
      <x:c r="F75" s="2" t="str">
        <x:v>실장부품</x:v>
      </x:c>
      <x:c r="G75" s="23" t="str">
        <x:v>예</x:v>
      </x:c>
      <x:c r="H75" s="19" t="n">
        <x:f>K75+'좌표안내'!$D$7</x:f>
        <x:v>41.7</x:v>
      </x:c>
      <x:c r="I75" s="19" t="n">
        <x:f>L75+'좌표안내'!$E$7</x:f>
        <x:v>14.200000000000003</x:v>
      </x:c>
      <x:c r="J75" s="21" t="n">
        <x:v>-90</x:v>
      </x:c>
      <x:c r="K75" s="19" t="n">
        <x:f>'UART원본'!D33-'좌표안내'!$B$7</x:f>
        <x:v>36.7</x:v>
      </x:c>
      <x:c r="L75" s="19" t="n">
        <x:f>'좌표안내'!$C$7-'UART원본'!E33</x:f>
        <x:v>9.200000000000003</x:v>
      </x:c>
      <x:c r="M75" s="2" t="str">
        <x:v>Resistor_SMD:R_0603_1608Metric</x:v>
      </x:c>
      <x:c r="N75" s="23" t="str">
        <x:v>예</x:v>
      </x:c>
      <x:c r="O75" s="23" t="str">
        <x:v>아니오</x:v>
      </x:c>
      <x:c r="P75" s="23" t="str">
        <x:v>아니오</x:v>
      </x:c>
    </x:row>
    <x:row r="76" ht="22" customHeight="1">
      <x:c r="A76" s="6" t="str">
        <x:v>UART_R7</x:v>
      </x:c>
      <x:c r="B76" s="6" t="str">
        <x:v>UART</x:v>
      </x:c>
      <x:c r="C76" s="6" t="str">
        <x:v>R7</x:v>
      </x:c>
      <x:c r="D76" s="6" t="str">
        <x:v>100 Ω</x:v>
      </x:c>
      <x:c r="E76" s="6" t="str">
        <x:v>Bottom</x:v>
      </x:c>
      <x:c r="F76" s="6" t="str">
        <x:v>실장부품</x:v>
      </x:c>
      <x:c r="G76" s="22" t="str">
        <x:v>예</x:v>
      </x:c>
      <x:c r="H76" s="18" t="n">
        <x:f>K76+'좌표안내'!$D$7</x:f>
        <x:v>39.900000000000006</x:v>
      </x:c>
      <x:c r="I76" s="18" t="n">
        <x:f>L76+'좌표안내'!$E$7</x:f>
        <x:v>10.200000000000003</x:v>
      </x:c>
      <x:c r="J76" s="20" t="n">
        <x:v>-90</x:v>
      </x:c>
      <x:c r="K76" s="18" t="n">
        <x:f>'UART원본'!D34-'좌표안내'!$B$7</x:f>
        <x:v>34.900000000000006</x:v>
      </x:c>
      <x:c r="L76" s="18" t="n">
        <x:f>'좌표안내'!$C$7-'UART원본'!E34</x:f>
        <x:v>5.200000000000003</x:v>
      </x:c>
      <x:c r="M76" s="6" t="str">
        <x:v>Resistor_SMD:R_0603_1608Metric</x:v>
      </x:c>
      <x:c r="N76" s="22" t="str">
        <x:v>예</x:v>
      </x:c>
      <x:c r="O76" s="22" t="str">
        <x:v>아니오</x:v>
      </x:c>
      <x:c r="P76" s="22" t="str">
        <x:v>아니오</x:v>
      </x:c>
    </x:row>
    <x:row r="77" ht="22" customHeight="1">
      <x:c r="A77" s="2" t="str">
        <x:v>UART_R8</x:v>
      </x:c>
      <x:c r="B77" s="2" t="str">
        <x:v>UART</x:v>
      </x:c>
      <x:c r="C77" s="2" t="str">
        <x:v>R8</x:v>
      </x:c>
      <x:c r="D77" s="2" t="str">
        <x:v>100 Ω</x:v>
      </x:c>
      <x:c r="E77" s="2" t="str">
        <x:v>Bottom</x:v>
      </x:c>
      <x:c r="F77" s="2" t="str">
        <x:v>실장부품</x:v>
      </x:c>
      <x:c r="G77" s="23" t="str">
        <x:v>예</x:v>
      </x:c>
      <x:c r="H77" s="19" t="n">
        <x:f>K77+'좌표안내'!$D$7</x:f>
        <x:v>41.7</x:v>
      </x:c>
      <x:c r="I77" s="19" t="n">
        <x:f>L77+'좌표안내'!$E$7</x:f>
        <x:v>10.200000000000003</x:v>
      </x:c>
      <x:c r="J77" s="21" t="n">
        <x:v>90</x:v>
      </x:c>
      <x:c r="K77" s="19" t="n">
        <x:f>'UART원본'!D35-'좌표안내'!$B$7</x:f>
        <x:v>36.7</x:v>
      </x:c>
      <x:c r="L77" s="19" t="n">
        <x:f>'좌표안내'!$C$7-'UART원본'!E35</x:f>
        <x:v>5.200000000000003</x:v>
      </x:c>
      <x:c r="M77" s="2" t="str">
        <x:v>Resistor_SMD:R_0603_1608Metric</x:v>
      </x:c>
      <x:c r="N77" s="23" t="str">
        <x:v>예</x:v>
      </x:c>
      <x:c r="O77" s="23" t="str">
        <x:v>아니오</x:v>
      </x:c>
      <x:c r="P77" s="23" t="str">
        <x:v>아니오</x:v>
      </x:c>
    </x:row>
    <x:row r="78" ht="22" customHeight="1">
      <x:c r="A78" s="6" t="str">
        <x:v>UART_R9</x:v>
      </x:c>
      <x:c r="B78" s="6" t="str">
        <x:v>UART</x:v>
      </x:c>
      <x:c r="C78" s="6" t="str">
        <x:v>R9</x:v>
      </x:c>
      <x:c r="D78" s="6" t="str">
        <x:v>1 Ω</x:v>
      </x:c>
      <x:c r="E78" s="6" t="str">
        <x:v>Bottom</x:v>
      </x:c>
      <x:c r="F78" s="6" t="str">
        <x:v>실장부품</x:v>
      </x:c>
      <x:c r="G78" s="22" t="str">
        <x:v>예</x:v>
      </x:c>
      <x:c r="H78" s="18" t="n">
        <x:f>K78+'좌표안내'!$D$7</x:f>
        <x:v>36</x:v>
      </x:c>
      <x:c r="I78" s="18" t="n">
        <x:f>L78+'좌표안내'!$E$7</x:f>
        <x:v>23.5</x:v>
      </x:c>
      <x:c r="J78" s="20" t="n">
        <x:v>0</x:v>
      </x:c>
      <x:c r="K78" s="18" t="n">
        <x:f>'UART원본'!D36-'좌표안내'!$B$7</x:f>
        <x:v>31</x:v>
      </x:c>
      <x:c r="L78" s="18" t="n">
        <x:f>'좌표안내'!$C$7-'UART원본'!E36</x:f>
        <x:v>18.5</x:v>
      </x:c>
      <x:c r="M78" s="6" t="str">
        <x:v>Resistor_SMD:R_1206_3216Metric</x:v>
      </x:c>
      <x:c r="N78" s="22" t="str">
        <x:v>예</x:v>
      </x:c>
      <x:c r="O78" s="22" t="str">
        <x:v>아니오</x:v>
      </x:c>
      <x:c r="P78" s="22" t="str">
        <x:v>아니오</x:v>
      </x:c>
    </x:row>
    <x:row r="79" ht="22" customHeight="1">
      <x:c r="A79" s="2" t="str">
        <x:v>UART_U1</x:v>
      </x:c>
      <x:c r="B79" s="2" t="str">
        <x:v>UART</x:v>
      </x:c>
      <x:c r="C79" s="2" t="str">
        <x:v>U1</x:v>
      </x:c>
      <x:c r="D79" s="2" t="str">
        <x:v>LD1117S33TR</x:v>
      </x:c>
      <x:c r="E79" s="2" t="str">
        <x:v>Bottom</x:v>
      </x:c>
      <x:c r="F79" s="2" t="str">
        <x:v>실장부품</x:v>
      </x:c>
      <x:c r="G79" s="23" t="str">
        <x:v>예</x:v>
      </x:c>
      <x:c r="H79" s="19" t="n">
        <x:f>K79+'좌표안내'!$D$7</x:f>
        <x:v>29</x:v>
      </x:c>
      <x:c r="I79" s="19" t="n">
        <x:f>L79+'좌표안내'!$E$7</x:f>
        <x:v>23.5</x:v>
      </x:c>
      <x:c r="J79" s="21" t="n">
        <x:v>0</x:v>
      </x:c>
      <x:c r="K79" s="19" t="n">
        <x:f>'UART원본'!D37-'좌표안내'!$B$7</x:f>
        <x:v>24</x:v>
      </x:c>
      <x:c r="L79" s="19" t="n">
        <x:f>'좌표안내'!$C$7-'UART원본'!E37</x:f>
        <x:v>18.5</x:v>
      </x:c>
      <x:c r="M79" s="2" t="str">
        <x:v>Package_TO_SOT_SMD:SOT-223-3_TabPin2</x:v>
      </x:c>
      <x:c r="N79" s="23" t="str">
        <x:v>예</x:v>
      </x:c>
      <x:c r="O79" s="23" t="str">
        <x:v>아니오</x:v>
      </x:c>
      <x:c r="P79" s="23" t="str">
        <x:v>아니오</x:v>
      </x:c>
    </x:row>
    <x:row r="80" ht="22" customHeight="1">
      <x:c r="A80" s="6" t="str">
        <x:v>UART_U2</x:v>
      </x:c>
      <x:c r="B80" s="6" t="str">
        <x:v>UART</x:v>
      </x:c>
      <x:c r="C80" s="6" t="str">
        <x:v>U2</x:v>
      </x:c>
      <x:c r="D80" s="6" t="str">
        <x:v>XR33194ESBTR</x:v>
      </x:c>
      <x:c r="E80" s="6" t="str">
        <x:v>Bottom</x:v>
      </x:c>
      <x:c r="F80" s="6" t="str">
        <x:v>실장부품</x:v>
      </x:c>
      <x:c r="G80" s="22" t="str">
        <x:v>예</x:v>
      </x:c>
      <x:c r="H80" s="18" t="n">
        <x:f>K80+'좌표안내'!$D$7</x:f>
        <x:v>26.599999999999994</x:v>
      </x:c>
      <x:c r="I80" s="18" t="n">
        <x:f>L80+'좌표안내'!$E$7</x:f>
        <x:v>17.5</x:v>
      </x:c>
      <x:c r="J80" s="20" t="n">
        <x:v>-90</x:v>
      </x:c>
      <x:c r="K80" s="18" t="n">
        <x:f>'UART원본'!D38-'좌표안내'!$B$7</x:f>
        <x:v>21.599999999999994</x:v>
      </x:c>
      <x:c r="L80" s="18" t="n">
        <x:f>'좌표안내'!$C$7-'UART원본'!E38</x:f>
        <x:v>12.5</x:v>
      </x:c>
      <x:c r="M80" s="6" t="str">
        <x:v>Adapter:TSOT23-6_MaxLinear</x:v>
      </x:c>
      <x:c r="N80" s="22" t="str">
        <x:v>예</x:v>
      </x:c>
      <x:c r="O80" s="22" t="str">
        <x:v>아니오</x:v>
      </x:c>
      <x:c r="P80" s="22" t="str">
        <x:v>아니오</x:v>
      </x:c>
    </x:row>
    <x:row r="81" ht="22" customHeight="1">
      <x:c r="A81" s="2" t="str">
        <x:v>UART_U3</x:v>
      </x:c>
      <x:c r="B81" s="2" t="str">
        <x:v>UART</x:v>
      </x:c>
      <x:c r="C81" s="2" t="str">
        <x:v>U3</x:v>
      </x:c>
      <x:c r="D81" s="2" t="str">
        <x:v>XR33183ESBTR</x:v>
      </x:c>
      <x:c r="E81" s="2" t="str">
        <x:v>Bottom</x:v>
      </x:c>
      <x:c r="F81" s="2" t="str">
        <x:v>실장부품</x:v>
      </x:c>
      <x:c r="G81" s="23" t="str">
        <x:v>예</x:v>
      </x:c>
      <x:c r="H81" s="19" t="n">
        <x:f>K81+'좌표안내'!$D$7</x:f>
        <x:v>23</x:v>
      </x:c>
      <x:c r="I81" s="19" t="n">
        <x:f>L81+'좌표안내'!$E$7</x:f>
        <x:v>17.5</x:v>
      </x:c>
      <x:c r="J81" s="21" t="n">
        <x:v>-90</x:v>
      </x:c>
      <x:c r="K81" s="19" t="n">
        <x:f>'UART원본'!D39-'좌표안내'!$B$7</x:f>
        <x:v>18</x:v>
      </x:c>
      <x:c r="L81" s="19" t="n">
        <x:f>'좌표안내'!$C$7-'UART원본'!E39</x:f>
        <x:v>12.5</x:v>
      </x:c>
      <x:c r="M81" s="2" t="str">
        <x:v>Adapter:TSOT23-6_MaxLinear</x:v>
      </x:c>
      <x:c r="N81" s="23" t="str">
        <x:v>예</x:v>
      </x:c>
      <x:c r="O81" s="23" t="str">
        <x:v>아니오</x:v>
      </x:c>
      <x:c r="P81" s="23" t="str">
        <x:v>아니오</x:v>
      </x:c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</x:sheetData>
  <x:pageMargins left="0.7" right="0.7" top="0.75" bottom="0.75" header="0.3" footer="0.3"/>
  <x:tableParts count="1">
    <x:tablePart xmlns:r="http://schemas.openxmlformats.org/officeDocument/2006/relationships" r:id="R7644b969607c4f6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9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4" max="14" width="14" hidden="0" customWidth="1"/>
    <x:col min="15" max="15" width="14" hidden="0" customWidth="1"/>
    <x:col min="16" max="16" width="65" hidden="0" customWidth="1"/>
    <x:col min="17" max="17" width="42" hidden="0" customWidth="1"/>
    <x:col min="18" max="18" width="9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5" customHeight="1">
      <x:c r="A2" s="3" t="str">
        <x:v>PPG 원본 좌표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2" customHeight="1">
      <x:c r="A4" s="5" t="str">
        <x:v>원본 KiCad 좌표: X 우측 +, Y 아래쪽 + / mm / 풋프린트 기준점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2" customHeight="1">
      <x:c r="A5" s="2" t="str">
        <x:v>kicad/ppg_pcb_v08.kicad_pcb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2" customHeight="1">
      <x:c r="A6" s="2" t="str">
        <x:v>SHA-256: d8ab57b499b6bec9f0e7d4ffc6dcf7341c4ac6b95dc3e1944c301da4cf5201eb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34" customHeight="1">
      <x:c r="A7" s="15" t="str">
        <x:v>Ref</x:v>
      </x:c>
      <x:c r="B7" s="16" t="str">
        <x:v>부품 값</x:v>
      </x:c>
      <x:c r="C7" s="16" t="str">
        <x:v>면</x:v>
      </x:c>
      <x:c r="D7" s="16" t="str">
        <x:v>원본 X (mm)</x:v>
      </x:c>
      <x:c r="E7" s="16" t="str">
        <x:v>원본 Y (mm)</x:v>
      </x:c>
      <x:c r="F7" s="16" t="str">
        <x:v>원본 각도 (°)</x:v>
      </x:c>
      <x:c r="G7" s="16" t="str">
        <x:v>POS 각도 (°)</x:v>
      </x:c>
      <x:c r="H7" s="16" t="str">
        <x:v>구분</x:v>
      </x:c>
      <x:c r="I7" s="16" t="str">
        <x:v>SMT 대상</x:v>
      </x:c>
      <x:c r="J7" s="16" t="str">
        <x:v>SMD 속성</x:v>
      </x:c>
      <x:c r="K7" s="16" t="str">
        <x:v>POS 제외</x:v>
      </x:c>
      <x:c r="L7" s="16" t="str">
        <x:v>DNP</x:v>
      </x:c>
      <x:c r="M7" s="16" t="str">
        <x:v>BOM 제외</x:v>
      </x:c>
      <x:c r="N7" s="16" t="str">
        <x:v>핀 1 X (mm)</x:v>
      </x:c>
      <x:c r="O7" s="16" t="str">
        <x:v>핀 1 Y (mm)</x:v>
      </x:c>
      <x:c r="P7" s="16" t="str">
        <x:v>풋프린트</x:v>
      </x:c>
      <x:c r="Q7" s="16" t="str">
        <x:v>UUID</x:v>
      </x:c>
      <x:c r="R7" s="17" t="str">
        <x:v>원본 속성</x:v>
      </x:c>
    </x:row>
    <x:row r="8" ht="22" customHeight="1">
      <x:c r="A8" s="6" t="str">
        <x:v>C1</x:v>
      </x:c>
      <x:c r="B8" s="6" t="str">
        <x:v>10 µF</x:v>
      </x:c>
      <x:c r="C8" s="6" t="str">
        <x:v>Bottom</x:v>
      </x:c>
      <x:c r="D8" s="18" t="n">
        <x:v>21.1</x:v>
      </x:c>
      <x:c r="E8" s="18" t="n">
        <x:v>18.5</x:v>
      </x:c>
      <x:c r="F8" s="20" t="n">
        <x:v>0</x:v>
      </x:c>
      <x:c r="G8" s="20" t="n">
        <x:v>0</x:v>
      </x:c>
      <x:c r="H8" s="6" t="str">
        <x:v>실장부품</x:v>
      </x:c>
      <x:c r="I8" s="22" t="str">
        <x:v>예</x:v>
      </x:c>
      <x:c r="J8" s="22" t="str">
        <x:v>예</x:v>
      </x:c>
      <x:c r="K8" s="22" t="str">
        <x:v>아니오</x:v>
      </x:c>
      <x:c r="L8" s="22" t="str">
        <x:v>아니오</x:v>
      </x:c>
      <x:c r="M8" s="22" t="str">
        <x:v>아니오</x:v>
      </x:c>
      <x:c r="N8" s="18" t="n">
        <x:v>20.62</x:v>
      </x:c>
      <x:c r="O8" s="18" t="n">
        <x:v>18.5</x:v>
      </x:c>
      <x:c r="P8" s="6" t="str">
        <x:v>Capacitor_SMD:C_0402_1005Metric</x:v>
      </x:c>
      <x:c r="Q8" s="6" t="str">
        <x:v>b2f9a1a4-f6b1-4efb-a428-573a0c252270</x:v>
      </x:c>
      <x:c r="R8" s="6" t="str">
        <x:v>{"Reference":"C1","Value":"10 µF","Datasheet":"","Description":"VLED bulk / LDO1 output","KiLib_Generator":"SMD_2terminal_chip_molded","MPN":"","Manufacturer":""}</x:v>
      </x:c>
    </x:row>
    <x:row r="9" ht="22" customHeight="1">
      <x:c r="A9" s="2" t="str">
        <x:v>C4</x:v>
      </x:c>
      <x:c r="B9" s="2" t="str">
        <x:v>1 µF</x:v>
      </x:c>
      <x:c r="C9" s="2" t="str">
        <x:v>Bottom</x:v>
      </x:c>
      <x:c r="D9" s="19" t="n">
        <x:v>20.4</x:v>
      </x:c>
      <x:c r="E9" s="19" t="n">
        <x:v>15.1</x:v>
      </x:c>
      <x:c r="F9" s="21" t="n">
        <x:v>0</x:v>
      </x:c>
      <x:c r="G9" s="21" t="n">
        <x:v>0</x:v>
      </x:c>
      <x:c r="H9" s="2" t="str">
        <x:v>실장부품</x:v>
      </x:c>
      <x:c r="I9" s="23" t="str">
        <x:v>예</x:v>
      </x:c>
      <x:c r="J9" s="23" t="str">
        <x:v>예</x:v>
      </x:c>
      <x:c r="K9" s="23" t="str">
        <x:v>아니오</x:v>
      </x:c>
      <x:c r="L9" s="23" t="str">
        <x:v>아니오</x:v>
      </x:c>
      <x:c r="M9" s="23" t="str">
        <x:v>아니오</x:v>
      </x:c>
      <x:c r="N9" s="19" t="n">
        <x:v>20.08</x:v>
      </x:c>
      <x:c r="O9" s="19" t="n">
        <x:v>15.1</x:v>
      </x:c>
      <x:c r="P9" s="2" t="str">
        <x:v>Capacitor_SMD:C_0201_0603Metric</x:v>
      </x:c>
      <x:c r="Q9" s="2" t="str">
        <x:v>44017bb5-c816-4513-8aca-21dcd8dc28d5</x:v>
      </x:c>
      <x:c r="R9" s="2" t="str">
        <x:v>{"Reference":"C4","Value":"1 µF","Datasheet":"","Description":"U1 VLDO bypass","KiLib_Generator":"SMD_2terminal_chip_molded","MPN":"","Manufacturer":""}</x:v>
      </x:c>
    </x:row>
    <x:row r="10" ht="22" customHeight="1">
      <x:c r="A10" s="6" t="str">
        <x:v>C5</x:v>
      </x:c>
      <x:c r="B10" s="6" t="str">
        <x:v>1 µF</x:v>
      </x:c>
      <x:c r="C10" s="6" t="str">
        <x:v>Bottom</x:v>
      </x:c>
      <x:c r="D10" s="18" t="n">
        <x:v>21.2</x:v>
      </x:c>
      <x:c r="E10" s="18" t="n">
        <x:v>16.2</x:v>
      </x:c>
      <x:c r="F10" s="20" t="n">
        <x:v>180</x:v>
      </x:c>
      <x:c r="G10" s="20" t="n">
        <x:v>180</x:v>
      </x:c>
      <x:c r="H10" s="6" t="str">
        <x:v>실장부품</x:v>
      </x:c>
      <x:c r="I10" s="22" t="str">
        <x:v>예</x:v>
      </x:c>
      <x:c r="J10" s="22" t="str">
        <x:v>예</x:v>
      </x:c>
      <x:c r="K10" s="22" t="str">
        <x:v>아니오</x:v>
      </x:c>
      <x:c r="L10" s="22" t="str">
        <x:v>아니오</x:v>
      </x:c>
      <x:c r="M10" s="22" t="str">
        <x:v>아니오</x:v>
      </x:c>
      <x:c r="N10" s="18" t="n">
        <x:v>21.52</x:v>
      </x:c>
      <x:c r="O10" s="18" t="n">
        <x:v>16.2</x:v>
      </x:c>
      <x:c r="P10" s="6" t="str">
        <x:v>Capacitor_SMD:C_0201_0603Metric</x:v>
      </x:c>
      <x:c r="Q10" s="6" t="str">
        <x:v>d3e0d1f7-5532-408f-9bec-480b7de33dc7</x:v>
      </x:c>
      <x:c r="R10" s="6" t="str">
        <x:v>{"Reference":"C5","Value":"1 µF","Datasheet":"","Description":"U1 VREF bypass","KiLib_Generator":"SMD_2terminal_chip_molded","MPN":"","Manufacturer":""}</x:v>
      </x:c>
    </x:row>
    <x:row r="11" ht="22" customHeight="1">
      <x:c r="A11" s="2" t="str">
        <x:v>C6</x:v>
      </x:c>
      <x:c r="B11" s="2" t="str">
        <x:v>100 nF</x:v>
      </x:c>
      <x:c r="C11" s="2" t="str">
        <x:v>Bottom</x:v>
      </x:c>
      <x:c r="D11" s="19" t="n">
        <x:v>20.8</x:v>
      </x:c>
      <x:c r="E11" s="19" t="n">
        <x:v>13.1</x:v>
      </x:c>
      <x:c r="F11" s="21" t="n">
        <x:v>45</x:v>
      </x:c>
      <x:c r="G11" s="21" t="n">
        <x:v>45</x:v>
      </x:c>
      <x:c r="H11" s="2" t="str">
        <x:v>실장부품</x:v>
      </x:c>
      <x:c r="I11" s="23" t="str">
        <x:v>예</x:v>
      </x:c>
      <x:c r="J11" s="23" t="str">
        <x:v>예</x:v>
      </x:c>
      <x:c r="K11" s="23" t="str">
        <x:v>아니오</x:v>
      </x:c>
      <x:c r="L11" s="23" t="str">
        <x:v>아니오</x:v>
      </x:c>
      <x:c r="M11" s="23" t="str">
        <x:v>아니오</x:v>
      </x:c>
      <x:c r="N11" s="19" t="n">
        <x:v>20.573726</x:v>
      </x:c>
      <x:c r="O11" s="19" t="n">
        <x:v>13.326274</x:v>
      </x:c>
      <x:c r="P11" s="2" t="str">
        <x:v>Capacitor_SMD:C_0201_0603Metric</x:v>
      </x:c>
      <x:c r="Q11" s="2" t="str">
        <x:v>13f4b94d-8414-4494-9736-3fa36b365109</x:v>
      </x:c>
      <x:c r="R11" s="2" t="str">
        <x:v>{"Reference":"C6","Value":"100 nF","Datasheet":"","Description":"U3 VCC bypass","KiLib_Generator":"SMD_2terminal_chip_molded","MPN":"","Manufacturer":""}</x:v>
      </x:c>
    </x:row>
    <x:row r="12" ht="22" customHeight="1">
      <x:c r="A12" s="6" t="str">
        <x:v>C7</x:v>
      </x:c>
      <x:c r="B12" s="6" t="str">
        <x:v>100 nF</x:v>
      </x:c>
      <x:c r="C12" s="6" t="str">
        <x:v>Bottom</x:v>
      </x:c>
      <x:c r="D12" s="18" t="n">
        <x:v>20.025</x:v>
      </x:c>
      <x:c r="E12" s="18" t="n">
        <x:v>12.33</x:v>
      </x:c>
      <x:c r="F12" s="20" t="n">
        <x:v>90</x:v>
      </x:c>
      <x:c r="G12" s="20" t="n">
        <x:v>90</x:v>
      </x:c>
      <x:c r="H12" s="6" t="str">
        <x:v>실장부품</x:v>
      </x:c>
      <x:c r="I12" s="22" t="str">
        <x:v>예</x:v>
      </x:c>
      <x:c r="J12" s="22" t="str">
        <x:v>예</x:v>
      </x:c>
      <x:c r="K12" s="22" t="str">
        <x:v>아니오</x:v>
      </x:c>
      <x:c r="L12" s="22" t="str">
        <x:v>아니오</x:v>
      </x:c>
      <x:c r="M12" s="22" t="str">
        <x:v>아니오</x:v>
      </x:c>
      <x:c r="N12" s="18" t="n">
        <x:v>20.025</x:v>
      </x:c>
      <x:c r="O12" s="18" t="n">
        <x:v>12.65</x:v>
      </x:c>
      <x:c r="P12" s="6" t="str">
        <x:v>Capacitor_SMD:C_0201_0603Metric</x:v>
      </x:c>
      <x:c r="Q12" s="6" t="str">
        <x:v>ae641577-a546-46f8-8af3-83fb95113ff8</x:v>
      </x:c>
      <x:c r="R12" s="6" t="str">
        <x:v>{"Reference":"C7","Value":"100 nF","Datasheet":"","Description":"U6 VCC bypass","KiLib_Generator":"SMD_2terminal_chip_molded","MPN":"","Manufacturer":""}</x:v>
      </x:c>
    </x:row>
    <x:row r="13" ht="22" customHeight="1">
      <x:c r="A13" s="2" t="str">
        <x:v>C11</x:v>
      </x:c>
      <x:c r="B13" s="2" t="str">
        <x:v>100 nF</x:v>
      </x:c>
      <x:c r="C13" s="2" t="str">
        <x:v>Bottom</x:v>
      </x:c>
      <x:c r="D13" s="19" t="n">
        <x:v>18</x:v>
      </x:c>
      <x:c r="E13" s="19" t="n">
        <x:v>19.6</x:v>
      </x:c>
      <x:c r="F13" s="21" t="n">
        <x:v>180</x:v>
      </x:c>
      <x:c r="G13" s="21" t="n">
        <x:v>180</x:v>
      </x:c>
      <x:c r="H13" s="2" t="str">
        <x:v>실장부품</x:v>
      </x:c>
      <x:c r="I13" s="23" t="str">
        <x:v>예</x:v>
      </x:c>
      <x:c r="J13" s="23" t="str">
        <x:v>예</x:v>
      </x:c>
      <x:c r="K13" s="23" t="str">
        <x:v>아니오</x:v>
      </x:c>
      <x:c r="L13" s="23" t="str">
        <x:v>아니오</x:v>
      </x:c>
      <x:c r="M13" s="23" t="str">
        <x:v>아니오</x:v>
      </x:c>
      <x:c r="N13" s="19" t="n">
        <x:v>18.32</x:v>
      </x:c>
      <x:c r="O13" s="19" t="n">
        <x:v>19.6</x:v>
      </x:c>
      <x:c r="P13" s="2" t="str">
        <x:v>Capacitor_SMD:C_0201_0603Metric</x:v>
      </x:c>
      <x:c r="Q13" s="2" t="str">
        <x:v>e3a8be60-4df9-46db-9cb7-71f2e55dcd2f</x:v>
      </x:c>
      <x:c r="R13" s="2" t="str">
        <x:v>{"Reference":"C11","Value":"100 nF","Datasheet":"","Description":"U2 VDD bypass","KiLib_Generator":"SMD_2terminal_chip_molded","MPN":"","Manufacturer":""}</x:v>
      </x:c>
    </x:row>
    <x:row r="14" ht="22" customHeight="1">
      <x:c r="A14" s="6" t="str">
        <x:v>C12</x:v>
      </x:c>
      <x:c r="B14" s="6" t="str">
        <x:v>1 µF</x:v>
      </x:c>
      <x:c r="C14" s="6" t="str">
        <x:v>Bottom</x:v>
      </x:c>
      <x:c r="D14" s="18" t="n">
        <x:v>17.8</x:v>
      </x:c>
      <x:c r="E14" s="18" t="n">
        <x:v>11.6</x:v>
      </x:c>
      <x:c r="F14" s="20" t="n">
        <x:v>180</x:v>
      </x:c>
      <x:c r="G14" s="20" t="n">
        <x:v>180</x:v>
      </x:c>
      <x:c r="H14" s="6" t="str">
        <x:v>실장부품</x:v>
      </x:c>
      <x:c r="I14" s="22" t="str">
        <x:v>예</x:v>
      </x:c>
      <x:c r="J14" s="22" t="str">
        <x:v>예</x:v>
      </x:c>
      <x:c r="K14" s="22" t="str">
        <x:v>아니오</x:v>
      </x:c>
      <x:c r="L14" s="22" t="str">
        <x:v>아니오</x:v>
      </x:c>
      <x:c r="M14" s="22" t="str">
        <x:v>아니오</x:v>
      </x:c>
      <x:c r="N14" s="18" t="n">
        <x:v>18.12</x:v>
      </x:c>
      <x:c r="O14" s="18" t="n">
        <x:v>11.6</x:v>
      </x:c>
      <x:c r="P14" s="6" t="str">
        <x:v>Capacitor_SMD:C_0201_0603Metric</x:v>
      </x:c>
      <x:c r="Q14" s="6" t="str">
        <x:v>c53e36e5-4b8b-4bc3-9693-50677731f4a1</x:v>
      </x:c>
      <x:c r="R14" s="6" t="str">
        <x:v>{"Reference":"C12","Value":"1 µF","Datasheet":"","Description":"U2 VDD bulk","KiLib_Generator":"SMD_2terminal_chip_molded","MPN":"","Manufacturer":""}</x:v>
      </x:c>
    </x:row>
    <x:row r="15" ht="22" customHeight="1">
      <x:c r="A15" s="2" t="str">
        <x:v>C13</x:v>
      </x:c>
      <x:c r="B15" s="2" t="str">
        <x:v>1 µF</x:v>
      </x:c>
      <x:c r="C15" s="2" t="str">
        <x:v>Bottom</x:v>
      </x:c>
      <x:c r="D15" s="19" t="n">
        <x:v>16.6</x:v>
      </x:c>
      <x:c r="E15" s="19" t="n">
        <x:v>21.2</x:v>
      </x:c>
      <x:c r="F15" s="21" t="n">
        <x:v>-90</x:v>
      </x:c>
      <x:c r="G15" s="21" t="n">
        <x:v>-90</x:v>
      </x:c>
      <x:c r="H15" s="2" t="str">
        <x:v>실장부품</x:v>
      </x:c>
      <x:c r="I15" s="23" t="str">
        <x:v>예</x:v>
      </x:c>
      <x:c r="J15" s="23" t="str">
        <x:v>예</x:v>
      </x:c>
      <x:c r="K15" s="23" t="str">
        <x:v>아니오</x:v>
      </x:c>
      <x:c r="L15" s="23" t="str">
        <x:v>아니오</x:v>
      </x:c>
      <x:c r="M15" s="23" t="str">
        <x:v>아니오</x:v>
      </x:c>
      <x:c r="N15" s="19" t="n">
        <x:v>16.6</x:v>
      </x:c>
      <x:c r="O15" s="19" t="n">
        <x:v>20.72</x:v>
      </x:c>
      <x:c r="P15" s="2" t="str">
        <x:v>Capacitor_SMD:C_0402_1005Metric</x:v>
      </x:c>
      <x:c r="Q15" s="2" t="str">
        <x:v>47f818cc-af94-4bef-a665-1a5cbc5840f5</x:v>
      </x:c>
      <x:c r="R15" s="2" t="str">
        <x:v>{"Reference":"C13","Value":"1 µF","Datasheet":"","Description":"LDO1 input","KiLib_Generator":"SMD_2terminal_chip_molded","MPN":"","Manufacturer":""}</x:v>
      </x:c>
    </x:row>
    <x:row r="16" ht="22" customHeight="1">
      <x:c r="A16" s="6" t="str">
        <x:v>C14</x:v>
      </x:c>
      <x:c r="B16" s="6" t="str">
        <x:v>1 µF</x:v>
      </x:c>
      <x:c r="C16" s="6" t="str">
        <x:v>Bottom</x:v>
      </x:c>
      <x:c r="D16" s="18" t="n">
        <x:v>24.4</x:v>
      </x:c>
      <x:c r="E16" s="18" t="n">
        <x:v>19.9</x:v>
      </x:c>
      <x:c r="F16" s="20" t="n">
        <x:v>-45</x:v>
      </x:c>
      <x:c r="G16" s="20" t="n">
        <x:v>-45</x:v>
      </x:c>
      <x:c r="H16" s="6" t="str">
        <x:v>실장부품</x:v>
      </x:c>
      <x:c r="I16" s="22" t="str">
        <x:v>예</x:v>
      </x:c>
      <x:c r="J16" s="22" t="str">
        <x:v>예</x:v>
      </x:c>
      <x:c r="K16" s="22" t="str">
        <x:v>아니오</x:v>
      </x:c>
      <x:c r="L16" s="22" t="str">
        <x:v>아니오</x:v>
      </x:c>
      <x:c r="M16" s="22" t="str">
        <x:v>아니오</x:v>
      </x:c>
      <x:c r="N16" s="18" t="n">
        <x:v>24.173726</x:v>
      </x:c>
      <x:c r="O16" s="18" t="n">
        <x:v>19.673726</x:v>
      </x:c>
      <x:c r="P16" s="6" t="str">
        <x:v>Capacitor_SMD:C_0201_0603Metric</x:v>
      </x:c>
      <x:c r="Q16" s="6" t="str">
        <x:v>052a604d-9fc4-42f7-b2a9-d02fedd0e76c</x:v>
      </x:c>
      <x:c r="R16" s="6" t="str">
        <x:v>{"Reference":"C14","Value":"1 µF","Datasheet":"","Description":"LDO2 output","KiLib_Generator":"SMD_2terminal_chip_molded","MPN":"","Manufacturer":""}</x:v>
      </x:c>
    </x:row>
    <x:row r="17" ht="22" customHeight="1">
      <x:c r="A17" s="2" t="str">
        <x:v>C15</x:v>
      </x:c>
      <x:c r="B17" s="2" t="str">
        <x:v>100 nF</x:v>
      </x:c>
      <x:c r="C17" s="2" t="str">
        <x:v>Bottom</x:v>
      </x:c>
      <x:c r="D17" s="19" t="n">
        <x:v>19.4</x:v>
      </x:c>
      <x:c r="E17" s="19" t="n">
        <x:v>19.4</x:v>
      </x:c>
      <x:c r="F17" s="21" t="n">
        <x:v>0</x:v>
      </x:c>
      <x:c r="G17" s="21" t="n">
        <x:v>0</x:v>
      </x:c>
      <x:c r="H17" s="2" t="str">
        <x:v>실장부품</x:v>
      </x:c>
      <x:c r="I17" s="23" t="str">
        <x:v>예</x:v>
      </x:c>
      <x:c r="J17" s="23" t="str">
        <x:v>예</x:v>
      </x:c>
      <x:c r="K17" s="23" t="str">
        <x:v>아니오</x:v>
      </x:c>
      <x:c r="L17" s="23" t="str">
        <x:v>아니오</x:v>
      </x:c>
      <x:c r="M17" s="23" t="str">
        <x:v>아니오</x:v>
      </x:c>
      <x:c r="N17" s="19" t="n">
        <x:v>19.08</x:v>
      </x:c>
      <x:c r="O17" s="19" t="n">
        <x:v>19.4</x:v>
      </x:c>
      <x:c r="P17" s="2" t="str">
        <x:v>Capacitor_SMD:C_0201_0603Metric</x:v>
      </x:c>
      <x:c r="Q17" s="2" t="str">
        <x:v>9f67b882-0710-47f5-98fb-b710cccd751c</x:v>
      </x:c>
      <x:c r="R17" s="2" t="str">
        <x:v>{"Reference":"C15","Value":"100 nF","Datasheet":"","Description":"Additional 3V3 local bypass at former D6 position; MLCC 100nF, 16V, X7R, +/-10%, metric 0603 (0.6 x 0.3 mm); generic MPN pending","KiLib_Generator":"SMD_2terminal_chip_molded","MPN":"","Manufacturer":""}</x:v>
      </x:c>
    </x:row>
    <x:row r="18" ht="22" customHeight="1">
      <x:c r="A18" s="6" t="str">
        <x:v>C16</x:v>
      </x:c>
      <x:c r="B18" s="6" t="str">
        <x:v>100 nF</x:v>
      </x:c>
      <x:c r="C18" s="6" t="str">
        <x:v>Bottom</x:v>
      </x:c>
      <x:c r="D18" s="18" t="n">
        <x:v>24.3</x:v>
      </x:c>
      <x:c r="E18" s="18" t="n">
        <x:v>16.4</x:v>
      </x:c>
      <x:c r="F18" s="20" t="n">
        <x:v>180</x:v>
      </x:c>
      <x:c r="G18" s="20" t="n">
        <x:v>180</x:v>
      </x:c>
      <x:c r="H18" s="6" t="str">
        <x:v>실장부품</x:v>
      </x:c>
      <x:c r="I18" s="22" t="str">
        <x:v>예</x:v>
      </x:c>
      <x:c r="J18" s="22" t="str">
        <x:v>예</x:v>
      </x:c>
      <x:c r="K18" s="22" t="str">
        <x:v>아니오</x:v>
      </x:c>
      <x:c r="L18" s="22" t="str">
        <x:v>아니오</x:v>
      </x:c>
      <x:c r="M18" s="22" t="str">
        <x:v>아니오</x:v>
      </x:c>
      <x:c r="N18" s="18" t="n">
        <x:v>24.62</x:v>
      </x:c>
      <x:c r="O18" s="18" t="n">
        <x:v>16.4</x:v>
      </x:c>
      <x:c r="P18" s="6" t="str">
        <x:v>Capacitor_SMD:C_0201_0603Metric</x:v>
      </x:c>
      <x:c r="Q18" s="6" t="str">
        <x:v>6cb67eeb-b554-40c7-b596-a9512aa022a2</x:v>
      </x:c>
      <x:c r="R18" s="6" t="str">
        <x:v>{"Reference":"C16","Value":"100 nF","Datasheet":"","Description":"Additional 3V3 local bypass at former D7 position; MLCC 100nF, 16V, X7R, +/-10%, metric 0603 (0.6 x 0.3 mm); generic MPN pending","KiLib_Generator":"SMD_2terminal_chip_molded","MPN":"","Manufacturer":""}</x:v>
      </x:c>
    </x:row>
    <x:row r="19" ht="22" customHeight="1">
      <x:c r="A19" s="2" t="str">
        <x:v>C17</x:v>
      </x:c>
      <x:c r="B19" s="2" t="str">
        <x:v>100 nF</x:v>
      </x:c>
      <x:c r="C19" s="2" t="str">
        <x:v>Bottom</x:v>
      </x:c>
      <x:c r="D19" s="19" t="n">
        <x:v>20.5</x:v>
      </x:c>
      <x:c r="E19" s="19" t="n">
        <x:v>19.9</x:v>
      </x:c>
      <x:c r="F19" s="21" t="n">
        <x:v>90</x:v>
      </x:c>
      <x:c r="G19" s="21" t="n">
        <x:v>90</x:v>
      </x:c>
      <x:c r="H19" s="2" t="str">
        <x:v>실장부품</x:v>
      </x:c>
      <x:c r="I19" s="23" t="str">
        <x:v>예</x:v>
      </x:c>
      <x:c r="J19" s="23" t="str">
        <x:v>예</x:v>
      </x:c>
      <x:c r="K19" s="23" t="str">
        <x:v>아니오</x:v>
      </x:c>
      <x:c r="L19" s="23" t="str">
        <x:v>아니오</x:v>
      </x:c>
      <x:c r="M19" s="23" t="str">
        <x:v>아니오</x:v>
      </x:c>
      <x:c r="N19" s="19" t="n">
        <x:v>20.5</x:v>
      </x:c>
      <x:c r="O19" s="19" t="n">
        <x:v>20.22</x:v>
      </x:c>
      <x:c r="P19" s="2" t="str">
        <x:v>Capacitor_SMD:C_0201_0603Metric</x:v>
      </x:c>
      <x:c r="Q19" s="2" t="str">
        <x:v>6e745808-f04e-4966-9793-f9de94b91137</x:v>
      </x:c>
      <x:c r="R19" s="2" t="str">
        <x:v>{"Reference":"C17","Value":"100 nF","Datasheet":"","Description":"U2 VDD bypass","KiLib_Generator":"SMD_2terminal_chip_molded","MPN":"","Manufacturer":""}</x:v>
      </x:c>
    </x:row>
    <x:row r="20" ht="22" customHeight="1">
      <x:c r="A20" s="6" t="str">
        <x:v>D1</x:v>
      </x:c>
      <x:c r="B20" s="6" t="str">
        <x:v>SPHV15-01ETG</x:v>
      </x:c>
      <x:c r="C20" s="6" t="str">
        <x:v>Bottom</x:v>
      </x:c>
      <x:c r="D20" s="18" t="n">
        <x:v>21.1</x:v>
      </x:c>
      <x:c r="E20" s="18" t="n">
        <x:v>11.2</x:v>
      </x:c>
      <x:c r="F20" s="20" t="n">
        <x:v>0</x:v>
      </x:c>
      <x:c r="G20" s="20" t="n">
        <x:v>0</x:v>
      </x:c>
      <x:c r="H20" s="6" t="str">
        <x:v>실장부품</x:v>
      </x:c>
      <x:c r="I20" s="22" t="str">
        <x:v>예</x:v>
      </x:c>
      <x:c r="J20" s="22" t="str">
        <x:v>예</x:v>
      </x:c>
      <x:c r="K20" s="22" t="str">
        <x:v>아니오</x:v>
      </x:c>
      <x:c r="L20" s="22" t="str">
        <x:v>아니오</x:v>
      </x:c>
      <x:c r="M20" s="22" t="str">
        <x:v>아니오</x:v>
      </x:c>
      <x:c r="N20" s="18" t="n">
        <x:v>20.775</x:v>
      </x:c>
      <x:c r="O20" s="18" t="n">
        <x:v>11.2</x:v>
      </x:c>
      <x:c r="P20" s="6" t="str">
        <x:v>SleepBud:TVS_SOD882_1x0.6</x:v>
      </x:c>
      <x:c r="Q20" s="6" t="str">
        <x:v>39947865-63cf-42db-80a1-a7b7256a9f71</x:v>
      </x:c>
      <x:c r="R20" s="6" t="str">
        <x:v>{"Reference":"D1","Value":"SPHV15-01ETG","Datasheet":"https://www.littelfuse.com/assetdocs/littelfuse_tvs_diode_array_sphv_datasheet.pdf?assetguid=4bdc7e09-5dd4-4010-a86a-0008bb6e228c","Description":"Littelfuse 15 V unidirectional input ESD TVS; K=1, A=2; 1.0x0.6 mm; transient residual at U4 VIN requires validation","MPN":"SPHV15-01ETG","Manufacturer":""}</x:v>
      </x:c>
    </x:row>
    <x:row r="21" ht="22" customHeight="1">
      <x:c r="A21" s="2" t="str">
        <x:v>D6</x:v>
      </x:c>
      <x:c r="B21" s="2" t="str">
        <x:v>ESD351DPYR</x:v>
      </x:c>
      <x:c r="C21" s="2" t="str">
        <x:v>Top</x:v>
      </x:c>
      <x:c r="D21" s="19" t="n">
        <x:v>19.65</x:v>
      </x:c>
      <x:c r="E21" s="19" t="n">
        <x:v>21.1</x:v>
      </x:c>
      <x:c r="F21" s="21" t="n">
        <x:v>0</x:v>
      </x:c>
      <x:c r="G21" s="21" t="n">
        <x:v>0</x:v>
      </x:c>
      <x:c r="H21" s="2" t="str">
        <x:v>실장부품</x:v>
      </x:c>
      <x:c r="I21" s="23" t="str">
        <x:v>예</x:v>
      </x:c>
      <x:c r="J21" s="23" t="str">
        <x:v>예</x:v>
      </x:c>
      <x:c r="K21" s="23" t="str">
        <x:v>아니오</x:v>
      </x:c>
      <x:c r="L21" s="23" t="str">
        <x:v>아니오</x:v>
      </x:c>
      <x:c r="M21" s="23" t="str">
        <x:v>아니오</x:v>
      </x:c>
      <x:c r="N21" s="19" t="n">
        <x:v>19.3</x:v>
      </x:c>
      <x:c r="O21" s="19" t="n">
        <x:v>21.1</x:v>
      </x:c>
      <x:c r="P21" s="2" t="str">
        <x:v>SleepBud:TI_DPY0002A_1x0.6</x:v>
      </x:c>
      <x:c r="Q21" s="2" t="str">
        <x:v>8c5c6ba0-4144-4fa6-8395-108a264a01f2</x:v>
      </x:c>
      <x:c r="R21" s="2" t="str">
        <x:v>{"Reference":"D6","Value":"ESD351DPYR","Datasheet":"https://www.ti.com/lit/ds/symlink/esd351.pdf","Description":"TI unidirectional low-capacitance ESD TVS for SWDIO; K/IO=1, A/GND=2; VRWM 3.6 V, Ctyp 1.8 pF; DFN1006","MPN":"ESD351DPYR","Manufacturer":""}</x:v>
      </x:c>
    </x:row>
    <x:row r="22" ht="22" customHeight="1">
      <x:c r="A22" s="6" t="str">
        <x:v>D7</x:v>
      </x:c>
      <x:c r="B22" s="6" t="str">
        <x:v>ESD351DPYR</x:v>
      </x:c>
      <x:c r="C22" s="6" t="str">
        <x:v>Top</x:v>
      </x:c>
      <x:c r="D22" s="18" t="n">
        <x:v>21.3</x:v>
      </x:c>
      <x:c r="E22" s="18" t="n">
        <x:v>21</x:v>
      </x:c>
      <x:c r="F22" s="20" t="n">
        <x:v>180</x:v>
      </x:c>
      <x:c r="G22" s="20" t="n">
        <x:v>180</x:v>
      </x:c>
      <x:c r="H22" s="6" t="str">
        <x:v>실장부품</x:v>
      </x:c>
      <x:c r="I22" s="22" t="str">
        <x:v>예</x:v>
      </x:c>
      <x:c r="J22" s="22" t="str">
        <x:v>예</x:v>
      </x:c>
      <x:c r="K22" s="22" t="str">
        <x:v>아니오</x:v>
      </x:c>
      <x:c r="L22" s="22" t="str">
        <x:v>아니오</x:v>
      </x:c>
      <x:c r="M22" s="22" t="str">
        <x:v>아니오</x:v>
      </x:c>
      <x:c r="N22" s="18" t="n">
        <x:v>21.649999</x:v>
      </x:c>
      <x:c r="O22" s="18" t="n">
        <x:v>21</x:v>
      </x:c>
      <x:c r="P22" s="6" t="str">
        <x:v>SleepBud:TI_DPY0002A_1x0.6</x:v>
      </x:c>
      <x:c r="Q22" s="6" t="str">
        <x:v>d75b307a-b14a-499c-87a6-66b0e303c15b</x:v>
      </x:c>
      <x:c r="R22" s="6" t="str">
        <x:v>{"Reference":"D7","Value":"ESD351DPYR","Datasheet":"https://www.ti.com/lit/ds/symlink/esd351.pdf","Description":"TI unidirectional low-capacitance ESD TVS for SWCLK; K/IO=1, A/GND=2; VRWM 3.6 V, Ctyp 1.8 pF; DFN1006","MPN":"ESD351DPYR","Manufacturer":""}</x:v>
      </x:c>
    </x:row>
    <x:row r="23" ht="22" customHeight="1">
      <x:c r="A23" s="2" t="str">
        <x:v>D8</x:v>
      </x:c>
      <x:c r="B23" s="2" t="str">
        <x:v>ESD351DPYR</x:v>
      </x:c>
      <x:c r="C23" s="2" t="str">
        <x:v>Bottom</x:v>
      </x:c>
      <x:c r="D23" s="19" t="n">
        <x:v>16.1</x:v>
      </x:c>
      <x:c r="E23" s="19" t="n">
        <x:v>18.9</x:v>
      </x:c>
      <x:c r="F23" s="21" t="n">
        <x:v>90</x:v>
      </x:c>
      <x:c r="G23" s="21" t="n">
        <x:v>90</x:v>
      </x:c>
      <x:c r="H23" s="2" t="str">
        <x:v>실장부품</x:v>
      </x:c>
      <x:c r="I23" s="23" t="str">
        <x:v>예</x:v>
      </x:c>
      <x:c r="J23" s="23" t="str">
        <x:v>예</x:v>
      </x:c>
      <x:c r="K23" s="23" t="str">
        <x:v>아니오</x:v>
      </x:c>
      <x:c r="L23" s="23" t="str">
        <x:v>아니오</x:v>
      </x:c>
      <x:c r="M23" s="23" t="str">
        <x:v>아니오</x:v>
      </x:c>
      <x:c r="N23" s="19" t="n">
        <x:v>16.1</x:v>
      </x:c>
      <x:c r="O23" s="19" t="n">
        <x:v>19.25</x:v>
      </x:c>
      <x:c r="P23" s="2" t="str">
        <x:v>SleepBud:TI_DPY0002A_1x0.6</x:v>
      </x:c>
      <x:c r="Q23" s="2" t="str">
        <x:v>5618874d-247f-4760-97bf-13daab5d2e6e</x:v>
      </x:c>
      <x:c r="R23" s="2" t="str">
        <x:v>{"Reference":"D8","Value":"ESD351DPYR","Datasheet":"https://www.ti.com/lit/ds/symlink/esd351.pdf","Description":"TI unidirectional low-capacitance ESD TVS for NRST; K/IO=1, A/GND=2; VRWM 3.6 V, Ctyp 1.8 pF; DFN1006","MPN":"ESD351DPYR","Manufacturer":""}</x:v>
      </x:c>
    </x:row>
    <x:row r="24" ht="22" customHeight="1">
      <x:c r="A24" s="6" t="str">
        <x:v>FB1</x:v>
      </x:c>
      <x:c r="B24" s="6" t="str">
        <x:v>BLM15PX601SN1D</x:v>
      </x:c>
      <x:c r="C24" s="6" t="str">
        <x:v>Bottom</x:v>
      </x:c>
      <x:c r="D24" s="18" t="n">
        <x:v>15.2</x:v>
      </x:c>
      <x:c r="E24" s="18" t="n">
        <x:v>20.2</x:v>
      </x:c>
      <x:c r="F24" s="20" t="n">
        <x:v>-55</x:v>
      </x:c>
      <x:c r="G24" s="20" t="n">
        <x:v>-55</x:v>
      </x:c>
      <x:c r="H24" s="6" t="str">
        <x:v>실장부품</x:v>
      </x:c>
      <x:c r="I24" s="22" t="str">
        <x:v>예</x:v>
      </x:c>
      <x:c r="J24" s="22" t="str">
        <x:v>예</x:v>
      </x:c>
      <x:c r="K24" s="22" t="str">
        <x:v>아니오</x:v>
      </x:c>
      <x:c r="L24" s="22" t="str">
        <x:v>아니오</x:v>
      </x:c>
      <x:c r="M24" s="22" t="str">
        <x:v>아니오</x:v>
      </x:c>
      <x:c r="N24" s="18" t="n">
        <x:v>14.921816</x:v>
      </x:c>
      <x:c r="O24" s="18" t="n">
        <x:v>19.802711</x:v>
      </x:c>
      <x:c r="P24" s="6" t="str">
        <x:v>Inductor_SMD:L_0402_1005Metric</x:v>
      </x:c>
      <x:c r="Q24" s="6" t="str">
        <x:v>ec38a1c3-7387-468c-819b-bd204b429965</x:v>
      </x:c>
      <x:c r="R24" s="6" t="str">
        <x:v>{"Reference":"FB1","Value":"BLM15PX601SN1D","Datasheet":"https://www.murata.com/en-us/products/productdetail?partno=BLM15PX601SN1%23","Description":"Murata ferrite bead 600 ohm at 100 MHz, 0.9 A at 85C, DCR 0.23 ohm max; metric 1005; C13 remains on filtered side","KiLib_Generator":"SMD_2terminal_chip_molded","MPN":"BLM15PX601SN1D","Manufacturer":""}</x:v>
      </x:c>
    </x:row>
    <x:row r="25" ht="22" customHeight="1">
      <x:c r="A25" s="2" t="str">
        <x:v>J1</x:v>
      </x:c>
      <x:c r="B25" s="2" t="str">
        <x:v>12V</x:v>
      </x:c>
      <x:c r="C25" s="2" t="str">
        <x:v>Bottom</x:v>
      </x:c>
      <x:c r="D25" s="19" t="n">
        <x:v>19.2172</x:v>
      </x:c>
      <x:c r="E25" s="19" t="n">
        <x:v>11.209</x:v>
      </x:c>
      <x:c r="F25" s="21" t="n">
        <x:v>180</x:v>
      </x:c>
      <x:c r="G25" s="21" t="n">
        <x:v>180</x:v>
      </x:c>
      <x:c r="H25" s="2" t="str">
        <x:v>납땜/검사 패드</x:v>
      </x:c>
      <x:c r="I25" s="23" t="str">
        <x:v>아니오</x:v>
      </x:c>
      <x:c r="J25" s="23" t="str">
        <x:v>예</x:v>
      </x:c>
      <x:c r="K25" s="23" t="str">
        <x:v>아니오</x:v>
      </x:c>
      <x:c r="L25" s="23" t="str">
        <x:v>아니오</x:v>
      </x:c>
      <x:c r="M25" s="23" t="str">
        <x:v>아니오</x:v>
      </x:c>
      <x:c r="N25" s="19" t="n">
        <x:v>19.2172</x:v>
      </x:c>
      <x:c r="O25" s="19" t="n">
        <x:v>11.209</x:v>
      </x:c>
      <x:c r="P25" s="2" t="str">
        <x:v>SleepBud:CablePad_D1.2</x:v>
      </x:c>
      <x:c r="Q25" s="2" t="str">
        <x:v>3d254908-604a-47e2-84e3-75ae52ef13b2</x:v>
      </x:c>
      <x:c r="R25" s="2" t="str">
        <x:v>{"Reference":"J1","Value":"12V","Datasheet":"","Description":"cable +12 V input, before ESD suppressor and FB1","MPN":"","Manufacturer":""}</x:v>
      </x:c>
    </x:row>
    <x:row r="26" ht="22" customHeight="1">
      <x:c r="A26" s="6" t="str">
        <x:v>J2</x:v>
      </x:c>
      <x:c r="B26" s="6" t="str">
        <x:v>GND</x:v>
      </x:c>
      <x:c r="C26" s="6" t="str">
        <x:v>Bottom</x:v>
      </x:c>
      <x:c r="D26" s="18" t="n">
        <x:v>20.6976</x:v>
      </x:c>
      <x:c r="E26" s="18" t="n">
        <x:v>22.711</x:v>
      </x:c>
      <x:c r="F26" s="20" t="n">
        <x:v>-135</x:v>
      </x:c>
      <x:c r="G26" s="20" t="n">
        <x:v>-135</x:v>
      </x:c>
      <x:c r="H26" s="6" t="str">
        <x:v>납땜/검사 패드</x:v>
      </x:c>
      <x:c r="I26" s="22" t="str">
        <x:v>아니오</x:v>
      </x:c>
      <x:c r="J26" s="22" t="str">
        <x:v>예</x:v>
      </x:c>
      <x:c r="K26" s="22" t="str">
        <x:v>아니오</x:v>
      </x:c>
      <x:c r="L26" s="22" t="str">
        <x:v>아니오</x:v>
      </x:c>
      <x:c r="M26" s="22" t="str">
        <x:v>아니오</x:v>
      </x:c>
      <x:c r="N26" s="18" t="n">
        <x:v>20.6976</x:v>
      </x:c>
      <x:c r="O26" s="18" t="n">
        <x:v>22.711</x:v>
      </x:c>
      <x:c r="P26" s="6" t="str">
        <x:v>SleepBud:CablePad_D1.2</x:v>
      </x:c>
      <x:c r="Q26" s="6" t="str">
        <x:v>0002f02c-eef9-49ff-a3c2-177636d8f66b</x:v>
      </x:c>
      <x:c r="R26" s="6" t="str">
        <x:v>{"Reference":"J2","Value":"GND","Datasheet":"","Description":"cable GND","MPN":"","Manufacturer":""}</x:v>
      </x:c>
    </x:row>
    <x:row r="27" ht="22" customHeight="1">
      <x:c r="A27" s="2" t="str">
        <x:v>J3</x:v>
      </x:c>
      <x:c r="B27" s="2" t="str">
        <x:v>TXP</x:v>
      </x:c>
      <x:c r="C27" s="2" t="str">
        <x:v>Bottom</x:v>
      </x:c>
      <x:c r="D27" s="19" t="n">
        <x:v>25.5</x:v>
      </x:c>
      <x:c r="E27" s="19" t="n">
        <x:v>15.9</x:v>
      </x:c>
      <x:c r="F27" s="21" t="n">
        <x:v>-90</x:v>
      </x:c>
      <x:c r="G27" s="21" t="n">
        <x:v>-90</x:v>
      </x:c>
      <x:c r="H27" s="2" t="str">
        <x:v>납땜/검사 패드</x:v>
      </x:c>
      <x:c r="I27" s="23" t="str">
        <x:v>아니오</x:v>
      </x:c>
      <x:c r="J27" s="23" t="str">
        <x:v>예</x:v>
      </x:c>
      <x:c r="K27" s="23" t="str">
        <x:v>아니오</x:v>
      </x:c>
      <x:c r="L27" s="23" t="str">
        <x:v>아니오</x:v>
      </x:c>
      <x:c r="M27" s="23" t="str">
        <x:v>아니오</x:v>
      </x:c>
      <x:c r="N27" s="19" t="n">
        <x:v>25.5</x:v>
      </x:c>
      <x:c r="O27" s="19" t="n">
        <x:v>15.9</x:v>
      </x:c>
      <x:c r="P27" s="2" t="str">
        <x:v>SleepBud:CablePad_D1.2</x:v>
      </x:c>
      <x:c r="Q27" s="2" t="str">
        <x:v>fc6787ea-d251-4c9d-8077-c947c6507923</x:v>
      </x:c>
      <x:c r="R27" s="2" t="str">
        <x:v>{"Reference":"J3","Value":"TXP","Datasheet":"","Description":"cable RS-422 TX+ (earbud -&gt; controller)","MPN":"","Manufacturer":""}</x:v>
      </x:c>
    </x:row>
    <x:row r="28" ht="22" customHeight="1">
      <x:c r="A28" s="6" t="str">
        <x:v>J4</x:v>
      </x:c>
      <x:c r="B28" s="6" t="str">
        <x:v>TXN</x:v>
      </x:c>
      <x:c r="C28" s="6" t="str">
        <x:v>Bottom</x:v>
      </x:c>
      <x:c r="D28" s="18" t="n">
        <x:v>25.1031</x:v>
      </x:c>
      <x:c r="E28" s="18" t="n">
        <x:v>18.6808</x:v>
      </x:c>
      <x:c r="F28" s="20" t="n">
        <x:v>180</x:v>
      </x:c>
      <x:c r="G28" s="20" t="n">
        <x:v>180</x:v>
      </x:c>
      <x:c r="H28" s="6" t="str">
        <x:v>납땜/검사 패드</x:v>
      </x:c>
      <x:c r="I28" s="22" t="str">
        <x:v>아니오</x:v>
      </x:c>
      <x:c r="J28" s="22" t="str">
        <x:v>예</x:v>
      </x:c>
      <x:c r="K28" s="22" t="str">
        <x:v>아니오</x:v>
      </x:c>
      <x:c r="L28" s="22" t="str">
        <x:v>아니오</x:v>
      </x:c>
      <x:c r="M28" s="22" t="str">
        <x:v>아니오</x:v>
      </x:c>
      <x:c r="N28" s="18" t="n">
        <x:v>25.1031</x:v>
      </x:c>
      <x:c r="O28" s="18" t="n">
        <x:v>18.6808</x:v>
      </x:c>
      <x:c r="P28" s="6" t="str">
        <x:v>SleepBud:CablePad_D1.2</x:v>
      </x:c>
      <x:c r="Q28" s="6" t="str">
        <x:v>5ff61134-6e74-4fd1-ad01-357b07df3332</x:v>
      </x:c>
      <x:c r="R28" s="6" t="str">
        <x:v>{"Reference":"J4","Value":"TXN","Datasheet":"","Description":"cable RS-422 TX-","MPN":"","Manufacturer":""}</x:v>
      </x:c>
    </x:row>
    <x:row r="29" ht="22" customHeight="1">
      <x:c r="A29" s="2" t="str">
        <x:v>J5</x:v>
      </x:c>
      <x:c r="B29" s="2" t="str">
        <x:v>RXP</x:v>
      </x:c>
      <x:c r="C29" s="2" t="str">
        <x:v>Bottom</x:v>
      </x:c>
      <x:c r="D29" s="19" t="n">
        <x:v>14.4</x:v>
      </x:c>
      <x:c r="E29" s="19" t="n">
        <x:v>18.5</x:v>
      </x:c>
      <x:c r="F29" s="21" t="n">
        <x:v>-90</x:v>
      </x:c>
      <x:c r="G29" s="21" t="n">
        <x:v>-90</x:v>
      </x:c>
      <x:c r="H29" s="2" t="str">
        <x:v>납땜/검사 패드</x:v>
      </x:c>
      <x:c r="I29" s="23" t="str">
        <x:v>아니오</x:v>
      </x:c>
      <x:c r="J29" s="23" t="str">
        <x:v>예</x:v>
      </x:c>
      <x:c r="K29" s="23" t="str">
        <x:v>아니오</x:v>
      </x:c>
      <x:c r="L29" s="23" t="str">
        <x:v>아니오</x:v>
      </x:c>
      <x:c r="M29" s="23" t="str">
        <x:v>아니오</x:v>
      </x:c>
      <x:c r="N29" s="19" t="n">
        <x:v>14.4</x:v>
      </x:c>
      <x:c r="O29" s="19" t="n">
        <x:v>18.5</x:v>
      </x:c>
      <x:c r="P29" s="2" t="str">
        <x:v>SleepBud:CablePad_D1.2</x:v>
      </x:c>
      <x:c r="Q29" s="2" t="str">
        <x:v>ae3ee1af-537d-4f37-aac0-e50bead70f10</x:v>
      </x:c>
      <x:c r="R29" s="2" t="str">
        <x:v>{"Reference":"J5","Value":"RXP","Datasheet":"","Description":"cable RS-422 RX+ (controller -&gt; earbud)","MPN":"","Manufacturer":""}</x:v>
      </x:c>
    </x:row>
    <x:row r="30" ht="22" customHeight="1">
      <x:c r="A30" s="6" t="str">
        <x:v>J6</x:v>
      </x:c>
      <x:c r="B30" s="6" t="str">
        <x:v>RXN</x:v>
      </x:c>
      <x:c r="C30" s="6" t="str">
        <x:v>Bottom</x:v>
      </x:c>
      <x:c r="D30" s="18" t="n">
        <x:v>15.0655</x:v>
      </x:c>
      <x:c r="E30" s="18" t="n">
        <x:v>13.9497</x:v>
      </x:c>
      <x:c r="F30" s="20" t="n">
        <x:v>90</x:v>
      </x:c>
      <x:c r="G30" s="20" t="n">
        <x:v>90</x:v>
      </x:c>
      <x:c r="H30" s="6" t="str">
        <x:v>납땜/검사 패드</x:v>
      </x:c>
      <x:c r="I30" s="22" t="str">
        <x:v>아니오</x:v>
      </x:c>
      <x:c r="J30" s="22" t="str">
        <x:v>예</x:v>
      </x:c>
      <x:c r="K30" s="22" t="str">
        <x:v>아니오</x:v>
      </x:c>
      <x:c r="L30" s="22" t="str">
        <x:v>아니오</x:v>
      </x:c>
      <x:c r="M30" s="22" t="str">
        <x:v>아니오</x:v>
      </x:c>
      <x:c r="N30" s="18" t="n">
        <x:v>15.0655</x:v>
      </x:c>
      <x:c r="O30" s="18" t="n">
        <x:v>13.9497</x:v>
      </x:c>
      <x:c r="P30" s="6" t="str">
        <x:v>SleepBud:CablePad_D1.2</x:v>
      </x:c>
      <x:c r="Q30" s="6" t="str">
        <x:v>13c4cee9-d738-495d-bc0c-29d9f6f704df</x:v>
      </x:c>
      <x:c r="R30" s="6" t="str">
        <x:v>{"Reference":"J6","Value":"RXN","Datasheet":"","Description":"cable RS-422 RX-","MPN":"","Manufacturer":""}</x:v>
      </x:c>
    </x:row>
    <x:row r="31" ht="22" customHeight="1">
      <x:c r="A31" s="2" t="str">
        <x:v>J7</x:v>
      </x:c>
      <x:c r="B31" s="2" t="str">
        <x:v>SWDIO</x:v>
      </x:c>
      <x:c r="C31" s="2" t="str">
        <x:v>Top</x:v>
      </x:c>
      <x:c r="D31" s="19" t="n">
        <x:v>18.73</x:v>
      </x:c>
      <x:c r="E31" s="19" t="n">
        <x:v>21.85</x:v>
      </x:c>
      <x:c r="F31" s="21" t="n">
        <x:v>0</x:v>
      </x:c>
      <x:c r="G31" s="21" t="n">
        <x:v>0</x:v>
      </x:c>
      <x:c r="H31" s="2" t="str">
        <x:v>납땜/검사 패드</x:v>
      </x:c>
      <x:c r="I31" s="23" t="str">
        <x:v>아니오</x:v>
      </x:c>
      <x:c r="J31" s="23" t="str">
        <x:v>예</x:v>
      </x:c>
      <x:c r="K31" s="23" t="str">
        <x:v>아니오</x:v>
      </x:c>
      <x:c r="L31" s="23" t="str">
        <x:v>아니오</x:v>
      </x:c>
      <x:c r="M31" s="23" t="str">
        <x:v>아니오</x:v>
      </x:c>
      <x:c r="N31" s="19" t="n">
        <x:v>18.73</x:v>
      </x:c>
      <x:c r="O31" s="19" t="n">
        <x:v>21.85</x:v>
      </x:c>
      <x:c r="P31" s="2" t="str">
        <x:v>SleepBud:TestPad_D0.8_Front</x:v>
      </x:c>
      <x:c r="Q31" s="2" t="str">
        <x:v>487153dc-e356-4c28-bc9e-5ddd41862eea</x:v>
      </x:c>
      <x:c r="R31" s="2" t="str">
        <x:v>{"Reference":"J7","Value":"SWDIO","Datasheet":"","Description":"Front SWD pogo test pad PA13, 0.8 mm, no solder paste","MPN":"","Manufacturer":"","Probe":"D"}</x:v>
      </x:c>
    </x:row>
    <x:row r="32" ht="22" customHeight="1">
      <x:c r="A32" s="6" t="str">
        <x:v>J8</x:v>
      </x:c>
      <x:c r="B32" s="6" t="str">
        <x:v>SWCLK</x:v>
      </x:c>
      <x:c r="C32" s="6" t="str">
        <x:v>Top</x:v>
      </x:c>
      <x:c r="D32" s="18" t="n">
        <x:v>21.27</x:v>
      </x:c>
      <x:c r="E32" s="18" t="n">
        <x:v>21.85</x:v>
      </x:c>
      <x:c r="F32" s="20" t="n">
        <x:v>0</x:v>
      </x:c>
      <x:c r="G32" s="20" t="n">
        <x:v>0</x:v>
      </x:c>
      <x:c r="H32" s="6" t="str">
        <x:v>납땜/검사 패드</x:v>
      </x:c>
      <x:c r="I32" s="22" t="str">
        <x:v>아니오</x:v>
      </x:c>
      <x:c r="J32" s="22" t="str">
        <x:v>예</x:v>
      </x:c>
      <x:c r="K32" s="22" t="str">
        <x:v>아니오</x:v>
      </x:c>
      <x:c r="L32" s="22" t="str">
        <x:v>아니오</x:v>
      </x:c>
      <x:c r="M32" s="22" t="str">
        <x:v>아니오</x:v>
      </x:c>
      <x:c r="N32" s="18" t="n">
        <x:v>21.27</x:v>
      </x:c>
      <x:c r="O32" s="18" t="n">
        <x:v>21.85</x:v>
      </x:c>
      <x:c r="P32" s="6" t="str">
        <x:v>SleepBud:TestPad_D0.8_Front</x:v>
      </x:c>
      <x:c r="Q32" s="6" t="str">
        <x:v>176d4cba-c60a-431c-8c5f-189c5360f2b9</x:v>
      </x:c>
      <x:c r="R32" s="6" t="str">
        <x:v>{"Reference":"J8","Value":"SWCLK","Datasheet":"","Description":"Front SWD pogo test pad PA14, 0.8 mm, no solder paste","MPN":"","Manufacturer":"","Probe":"C"}</x:v>
      </x:c>
    </x:row>
    <x:row r="33" ht="22" customHeight="1">
      <x:c r="A33" s="2" t="str">
        <x:v>J9</x:v>
      </x:c>
      <x:c r="B33" s="2" t="str">
        <x:v>NRST</x:v>
      </x:c>
      <x:c r="C33" s="2" t="str">
        <x:v>Top</x:v>
      </x:c>
      <x:c r="D33" s="19" t="n">
        <x:v>17.46</x:v>
      </x:c>
      <x:c r="E33" s="19" t="n">
        <x:v>21.85</x:v>
      </x:c>
      <x:c r="F33" s="21" t="n">
        <x:v>0</x:v>
      </x:c>
      <x:c r="G33" s="21" t="n">
        <x:v>0</x:v>
      </x:c>
      <x:c r="H33" s="2" t="str">
        <x:v>납땜/검사 패드</x:v>
      </x:c>
      <x:c r="I33" s="23" t="str">
        <x:v>아니오</x:v>
      </x:c>
      <x:c r="J33" s="23" t="str">
        <x:v>예</x:v>
      </x:c>
      <x:c r="K33" s="23" t="str">
        <x:v>아니오</x:v>
      </x:c>
      <x:c r="L33" s="23" t="str">
        <x:v>아니오</x:v>
      </x:c>
      <x:c r="M33" s="23" t="str">
        <x:v>아니오</x:v>
      </x:c>
      <x:c r="N33" s="19" t="n">
        <x:v>17.46</x:v>
      </x:c>
      <x:c r="O33" s="19" t="n">
        <x:v>21.85</x:v>
      </x:c>
      <x:c r="P33" s="2" t="str">
        <x:v>SleepBud:TestPad_D0.8_Front</x:v>
      </x:c>
      <x:c r="Q33" s="2" t="str">
        <x:v>6b3badd4-02c2-40a0-931e-863ad52c773d</x:v>
      </x:c>
      <x:c r="R33" s="2" t="str">
        <x:v>{"Reference":"J9","Value":"NRST","Datasheet":"","Description":"Front reset pogo test pad, 0.8 mm, no solder paste","MPN":"","Manufacturer":"","Probe":"R"}</x:v>
      </x:c>
    </x:row>
    <x:row r="34" ht="22" customHeight="1">
      <x:c r="A34" s="6" t="str">
        <x:v>J10</x:v>
      </x:c>
      <x:c r="B34" s="6" t="str">
        <x:v>GND</x:v>
      </x:c>
      <x:c r="C34" s="6" t="str">
        <x:v>Top</x:v>
      </x:c>
      <x:c r="D34" s="18" t="n">
        <x:v>20</x:v>
      </x:c>
      <x:c r="E34" s="18" t="n">
        <x:v>21.85</x:v>
      </x:c>
      <x:c r="F34" s="20" t="n">
        <x:v>0</x:v>
      </x:c>
      <x:c r="G34" s="20" t="n">
        <x:v>0</x:v>
      </x:c>
      <x:c r="H34" s="6" t="str">
        <x:v>납땜/검사 패드</x:v>
      </x:c>
      <x:c r="I34" s="22" t="str">
        <x:v>아니오</x:v>
      </x:c>
      <x:c r="J34" s="22" t="str">
        <x:v>예</x:v>
      </x:c>
      <x:c r="K34" s="22" t="str">
        <x:v>아니오</x:v>
      </x:c>
      <x:c r="L34" s="22" t="str">
        <x:v>아니오</x:v>
      </x:c>
      <x:c r="M34" s="22" t="str">
        <x:v>아니오</x:v>
      </x:c>
      <x:c r="N34" s="18" t="n">
        <x:v>20</x:v>
      </x:c>
      <x:c r="O34" s="18" t="n">
        <x:v>21.85</x:v>
      </x:c>
      <x:c r="P34" s="6" t="str">
        <x:v>SleepBud:TestPad_D0.8_Front</x:v>
      </x:c>
      <x:c r="Q34" s="6" t="str">
        <x:v>25de6651-0064-4bf8-a4f5-97bb3eae4c3a</x:v>
      </x:c>
      <x:c r="R34" s="6" t="str">
        <x:v>{"Reference":"J10","Value":"GND","Datasheet":"","Description":"Front SWD ground pogo test pad, 0.8 mm, no solder paste","Probe":"G","MPN":"","Manufacturer":""}</x:v>
      </x:c>
    </x:row>
    <x:row r="35" ht="22" customHeight="1">
      <x:c r="A35" s="2" t="str">
        <x:v>J11</x:v>
      </x:c>
      <x:c r="B35" s="2" t="str">
        <x:v>3V3_VTREF</x:v>
      </x:c>
      <x:c r="C35" s="2" t="str">
        <x:v>Top</x:v>
      </x:c>
      <x:c r="D35" s="19" t="n">
        <x:v>22.54</x:v>
      </x:c>
      <x:c r="E35" s="19" t="n">
        <x:v>21.85</x:v>
      </x:c>
      <x:c r="F35" s="21" t="n">
        <x:v>0</x:v>
      </x:c>
      <x:c r="G35" s="21" t="n">
        <x:v>0</x:v>
      </x:c>
      <x:c r="H35" s="2" t="str">
        <x:v>납땜/검사 패드</x:v>
      </x:c>
      <x:c r="I35" s="23" t="str">
        <x:v>아니오</x:v>
      </x:c>
      <x:c r="J35" s="23" t="str">
        <x:v>예</x:v>
      </x:c>
      <x:c r="K35" s="23" t="str">
        <x:v>아니오</x:v>
      </x:c>
      <x:c r="L35" s="23" t="str">
        <x:v>아니오</x:v>
      </x:c>
      <x:c r="M35" s="23" t="str">
        <x:v>아니오</x:v>
      </x:c>
      <x:c r="N35" s="19" t="n">
        <x:v>22.54</x:v>
      </x:c>
      <x:c r="O35" s="19" t="n">
        <x:v>21.85</x:v>
      </x:c>
      <x:c r="P35" s="2" t="str">
        <x:v>SleepBud:TestPad_D0.8_Front</x:v>
      </x:c>
      <x:c r="Q35" s="2" t="str">
        <x:v>da1d0540-0cc3-4893-8f4a-a4981bbb4bb6</x:v>
      </x:c>
      <x:c r="R35" s="2" t="str">
        <x:v>{"Reference":"J11","Value":"3V3_VTREF","Datasheet":"","Description":"Front SWD target-voltage reference pogo pad on 3V3, 0.8 mm, no solder paste","Probe":"V","MPN":"","Manufacturer":""}</x:v>
      </x:c>
    </x:row>
    <x:row r="36" ht="22" customHeight="1">
      <x:c r="A36" s="6" t="str">
        <x:v>R1</x:v>
      </x:c>
      <x:c r="B36" s="6" t="str">
        <x:v>4.7 kΩ</x:v>
      </x:c>
      <x:c r="C36" s="6" t="str">
        <x:v>Bottom</x:v>
      </x:c>
      <x:c r="D36" s="18" t="n">
        <x:v>21.2</x:v>
      </x:c>
      <x:c r="E36" s="18" t="n">
        <x:v>17.6</x:v>
      </x:c>
      <x:c r="F36" s="20" t="n">
        <x:v>0</x:v>
      </x:c>
      <x:c r="G36" s="20" t="n">
        <x:v>0</x:v>
      </x:c>
      <x:c r="H36" s="6" t="str">
        <x:v>실장부품</x:v>
      </x:c>
      <x:c r="I36" s="22" t="str">
        <x:v>예</x:v>
      </x:c>
      <x:c r="J36" s="22" t="str">
        <x:v>예</x:v>
      </x:c>
      <x:c r="K36" s="22" t="str">
        <x:v>아니오</x:v>
      </x:c>
      <x:c r="L36" s="22" t="str">
        <x:v>아니오</x:v>
      </x:c>
      <x:c r="M36" s="22" t="str">
        <x:v>아니오</x:v>
      </x:c>
      <x:c r="N36" s="18" t="n">
        <x:v>20.88</x:v>
      </x:c>
      <x:c r="O36" s="18" t="n">
        <x:v>17.6</x:v>
      </x:c>
      <x:c r="P36" s="6" t="str">
        <x:v>Resistor_SMD:R_0201_0603Metric</x:v>
      </x:c>
      <x:c r="Q36" s="6" t="str">
        <x:v>0b38be5c-ad74-4825-8d07-5bceabfee23a</x:v>
      </x:c>
      <x:c r="R36" s="6" t="str">
        <x:v>{"Reference":"R1","Value":"4.7 kΩ","Datasheet":"","Description":"I2C SDA pull-up","KiLib_Generator":"SMD_2terminal_chip_molded","MPN":"","Manufacturer":""}</x:v>
      </x:c>
    </x:row>
    <x:row r="37" ht="22" customHeight="1">
      <x:c r="A37" s="2" t="str">
        <x:v>R2</x:v>
      </x:c>
      <x:c r="B37" s="2" t="str">
        <x:v>4.7 kΩ</x:v>
      </x:c>
      <x:c r="C37" s="2" t="str">
        <x:v>Bottom</x:v>
      </x:c>
      <x:c r="D37" s="19" t="n">
        <x:v>21.2</x:v>
      </x:c>
      <x:c r="E37" s="19" t="n">
        <x:v>16.9</x:v>
      </x:c>
      <x:c r="F37" s="21" t="n">
        <x:v>0</x:v>
      </x:c>
      <x:c r="G37" s="21" t="n">
        <x:v>0</x:v>
      </x:c>
      <x:c r="H37" s="2" t="str">
        <x:v>실장부품</x:v>
      </x:c>
      <x:c r="I37" s="23" t="str">
        <x:v>예</x:v>
      </x:c>
      <x:c r="J37" s="23" t="str">
        <x:v>예</x:v>
      </x:c>
      <x:c r="K37" s="23" t="str">
        <x:v>아니오</x:v>
      </x:c>
      <x:c r="L37" s="23" t="str">
        <x:v>아니오</x:v>
      </x:c>
      <x:c r="M37" s="23" t="str">
        <x:v>아니오</x:v>
      </x:c>
      <x:c r="N37" s="19" t="n">
        <x:v>20.88</x:v>
      </x:c>
      <x:c r="O37" s="19" t="n">
        <x:v>16.9</x:v>
      </x:c>
      <x:c r="P37" s="2" t="str">
        <x:v>Resistor_SMD:R_0201_0603Metric</x:v>
      </x:c>
      <x:c r="Q37" s="2" t="str">
        <x:v>be454426-0d75-45b0-81b1-dec2cd88e1c1</x:v>
      </x:c>
      <x:c r="R37" s="2" t="str">
        <x:v>{"Reference":"R2","Value":"4.7 kΩ","Datasheet":"","Description":"I2C SCL pull-up","KiLib_Generator":"SMD_2terminal_chip_molded","MPN":"","Manufacturer":""}</x:v>
      </x:c>
    </x:row>
    <x:row r="38" ht="22" customHeight="1">
      <x:c r="A38" s="6" t="str">
        <x:v>R3</x:v>
      </x:c>
      <x:c r="B38" s="6" t="str">
        <x:v>120 Ω</x:v>
      </x:c>
      <x:c r="C38" s="6" t="str">
        <x:v>Bottom</x:v>
      </x:c>
      <x:c r="D38" s="18" t="n">
        <x:v>14.2</x:v>
      </x:c>
      <x:c r="E38" s="18" t="n">
        <x:v>16.8</x:v>
      </x:c>
      <x:c r="F38" s="20" t="n">
        <x:v>90</x:v>
      </x:c>
      <x:c r="G38" s="20" t="n">
        <x:v>90</x:v>
      </x:c>
      <x:c r="H38" s="6" t="str">
        <x:v>실장부품</x:v>
      </x:c>
      <x:c r="I38" s="22" t="str">
        <x:v>예</x:v>
      </x:c>
      <x:c r="J38" s="22" t="str">
        <x:v>예</x:v>
      </x:c>
      <x:c r="K38" s="22" t="str">
        <x:v>아니오</x:v>
      </x:c>
      <x:c r="L38" s="22" t="str">
        <x:v>아니오</x:v>
      </x:c>
      <x:c r="M38" s="22" t="str">
        <x:v>아니오</x:v>
      </x:c>
      <x:c r="N38" s="18" t="n">
        <x:v>14.2</x:v>
      </x:c>
      <x:c r="O38" s="18" t="n">
        <x:v>17.31</x:v>
      </x:c>
      <x:c r="P38" s="6" t="str">
        <x:v>Resistor_SMD:R_0402_1005Metric</x:v>
      </x:c>
      <x:c r="Q38" s="6" t="str">
        <x:v>a79fb02c-f0e3-4c86-be8b-3438a8f8ae2d</x:v>
      </x:c>
      <x:c r="R38" s="6" t="str">
        <x:v>{"Reference":"R3","Value":"120 Ω","Datasheet":"${KIPRJMOD}/../datasheet/pdf/Vishay_CRCW-HP_e3.pdf","Description":"RS-422 receive termination across cable RXP/RXN at U6; 120 ohm +/-1%, 0402, 0.2 W high-pulse series; cable-side of R7/R8; prototype pulse performance requires validation","KiLib_Generator":"SMD_2terminal_chip_molded","MPN":"CRCW0402120RFKEDHP","Manufacturer":"Vishay"}</x:v>
      </x:c>
    </x:row>
    <x:row r="39" ht="22" customHeight="1">
      <x:c r="A39" s="2" t="str">
        <x:v>R4</x:v>
      </x:c>
      <x:c r="B39" s="2" t="str">
        <x:v>10 kΩ</x:v>
      </x:c>
      <x:c r="C39" s="2" t="str">
        <x:v>Bottom</x:v>
      </x:c>
      <x:c r="D39" s="19" t="n">
        <x:v>22.6</x:v>
      </x:c>
      <x:c r="E39" s="19" t="n">
        <x:v>16.9</x:v>
      </x:c>
      <x:c r="F39" s="21" t="n">
        <x:v>180</x:v>
      </x:c>
      <x:c r="G39" s="21" t="n">
        <x:v>180</x:v>
      </x:c>
      <x:c r="H39" s="2" t="str">
        <x:v>실장부품</x:v>
      </x:c>
      <x:c r="I39" s="23" t="str">
        <x:v>예</x:v>
      </x:c>
      <x:c r="J39" s="23" t="str">
        <x:v>예</x:v>
      </x:c>
      <x:c r="K39" s="23" t="str">
        <x:v>아니오</x:v>
      </x:c>
      <x:c r="L39" s="23" t="str">
        <x:v>아니오</x:v>
      </x:c>
      <x:c r="M39" s="23" t="str">
        <x:v>아니오</x:v>
      </x:c>
      <x:c r="N39" s="19" t="n">
        <x:v>22.92</x:v>
      </x:c>
      <x:c r="O39" s="19" t="n">
        <x:v>16.9</x:v>
      </x:c>
      <x:c r="P39" s="2" t="str">
        <x:v>Resistor_SMD:R_0201_0603Metric</x:v>
      </x:c>
      <x:c r="Q39" s="2" t="str">
        <x:v>4d88d970-0ec5-4ff9-b932-221f811f5baa</x:v>
      </x:c>
      <x:c r="R39" s="2" t="str">
        <x:v>{"Reference":"R4","Value":"10 kΩ","Datasheet":"","Description":"UART_TX idle-state pull-up to 3V3, 10 kohm +/-5%, 0201; max static loss 1.21 mW at 3.465 V; keeps U3 DI high during MCU reset; MPN pending","KiLib_Generator":"SMD_2terminal_chip_molded","MPN":"","Manufacturer":""}</x:v>
      </x:c>
    </x:row>
    <x:row r="40" ht="22" customHeight="1">
      <x:c r="A40" s="6" t="str">
        <x:v>R5</x:v>
      </x:c>
      <x:c r="B40" s="6" t="str">
        <x:v>22 Ω</x:v>
      </x:c>
      <x:c r="C40" s="6" t="str">
        <x:v>Bottom</x:v>
      </x:c>
      <x:c r="D40" s="18" t="n">
        <x:v>25.1</x:v>
      </x:c>
      <x:c r="E40" s="18" t="n">
        <x:v>17.3</x:v>
      </x:c>
      <x:c r="F40" s="20" t="n">
        <x:v>0</x:v>
      </x:c>
      <x:c r="G40" s="20" t="n">
        <x:v>0</x:v>
      </x:c>
      <x:c r="H40" s="6" t="str">
        <x:v>실장부품</x:v>
      </x:c>
      <x:c r="I40" s="22" t="str">
        <x:v>예</x:v>
      </x:c>
      <x:c r="J40" s="22" t="str">
        <x:v>예</x:v>
      </x:c>
      <x:c r="K40" s="22" t="str">
        <x:v>아니오</x:v>
      </x:c>
      <x:c r="L40" s="22" t="str">
        <x:v>아니오</x:v>
      </x:c>
      <x:c r="M40" s="22" t="str">
        <x:v>아니오</x:v>
      </x:c>
      <x:c r="N40" s="18" t="n">
        <x:v>24.590001</x:v>
      </x:c>
      <x:c r="O40" s="18" t="n">
        <x:v>17.3</x:v>
      </x:c>
      <x:c r="P40" s="6" t="str">
        <x:v>Resistor_SMD:R_0402_1005Metric</x:v>
      </x:c>
      <x:c r="Q40" s="6" t="str">
        <x:v>20618cd8-0683-40d0-ab19-7e2853f07501</x:v>
      </x:c>
      <x:c r="R40" s="6" t="str">
        <x:v>{"Reference":"R5","Value":"22 Ω","Datasheet":"${KIPRJMOD}/../datasheet/pdf/Vishay_CRCW-HP_e3.pdf","Description":"RS-422 IC-side series resistor, 22 ohm +/-5%, 0402, 0.2 W high-pulse series; prototype surge/ESD performance requires validation","KiLib_Generator":"SMD_2terminal_chip_molded","MPN":"CRCW040222R0JNEDHP","Manufacturer":"Vishay"}</x:v>
      </x:c>
    </x:row>
    <x:row r="41" ht="22" customHeight="1">
      <x:c r="A41" s="2" t="str">
        <x:v>R6</x:v>
      </x:c>
      <x:c r="B41" s="2" t="str">
        <x:v>22 Ω</x:v>
      </x:c>
      <x:c r="C41" s="2" t="str">
        <x:v>Bottom</x:v>
      </x:c>
      <x:c r="D41" s="19" t="n">
        <x:v>23.7</x:v>
      </x:c>
      <x:c r="E41" s="19" t="n">
        <x:v>18.2</x:v>
      </x:c>
      <x:c r="F41" s="21" t="n">
        <x:v>-90</x:v>
      </x:c>
      <x:c r="G41" s="21" t="n">
        <x:v>-90</x:v>
      </x:c>
      <x:c r="H41" s="2" t="str">
        <x:v>실장부품</x:v>
      </x:c>
      <x:c r="I41" s="23" t="str">
        <x:v>예</x:v>
      </x:c>
      <x:c r="J41" s="23" t="str">
        <x:v>예</x:v>
      </x:c>
      <x:c r="K41" s="23" t="str">
        <x:v>아니오</x:v>
      </x:c>
      <x:c r="L41" s="23" t="str">
        <x:v>아니오</x:v>
      </x:c>
      <x:c r="M41" s="23" t="str">
        <x:v>아니오</x:v>
      </x:c>
      <x:c r="N41" s="19" t="n">
        <x:v>23.7</x:v>
      </x:c>
      <x:c r="O41" s="19" t="n">
        <x:v>17.690001</x:v>
      </x:c>
      <x:c r="P41" s="2" t="str">
        <x:v>Resistor_SMD:R_0402_1005Metric</x:v>
      </x:c>
      <x:c r="Q41" s="2" t="str">
        <x:v>f9147fff-5bea-4dbd-9d98-5ef6ee8fc211</x:v>
      </x:c>
      <x:c r="R41" s="2" t="str">
        <x:v>{"Reference":"R6","Value":"22 Ω","Datasheet":"${KIPRJMOD}/../datasheet/pdf/Vishay_CRCW-HP_e3.pdf","Description":"RS-422 IC-side series resistor, 22 ohm +/-5%, 0402, 0.2 W high-pulse series; prototype surge/ESD performance requires validation","KiLib_Generator":"SMD_2terminal_chip_molded","MPN":"CRCW040222R0JNEDHP","Manufacturer":"Vishay"}</x:v>
      </x:c>
    </x:row>
    <x:row r="42" ht="22" customHeight="1">
      <x:c r="A42" s="6" t="str">
        <x:v>R7</x:v>
      </x:c>
      <x:c r="B42" s="6" t="str">
        <x:v>22 Ω</x:v>
      </x:c>
      <x:c r="C42" s="6" t="str">
        <x:v>Bottom</x:v>
      </x:c>
      <x:c r="D42" s="18" t="n">
        <x:v>15.6</x:v>
      </x:c>
      <x:c r="E42" s="18" t="n">
        <x:v>17.3</x:v>
      </x:c>
      <x:c r="F42" s="20" t="n">
        <x:v>180</x:v>
      </x:c>
      <x:c r="G42" s="20" t="n">
        <x:v>180</x:v>
      </x:c>
      <x:c r="H42" s="6" t="str">
        <x:v>실장부품</x:v>
      </x:c>
      <x:c r="I42" s="22" t="str">
        <x:v>예</x:v>
      </x:c>
      <x:c r="J42" s="22" t="str">
        <x:v>예</x:v>
      </x:c>
      <x:c r="K42" s="22" t="str">
        <x:v>아니오</x:v>
      </x:c>
      <x:c r="L42" s="22" t="str">
        <x:v>아니오</x:v>
      </x:c>
      <x:c r="M42" s="22" t="str">
        <x:v>아니오</x:v>
      </x:c>
      <x:c r="N42" s="18" t="n">
        <x:v>16.11</x:v>
      </x:c>
      <x:c r="O42" s="18" t="n">
        <x:v>17.3</x:v>
      </x:c>
      <x:c r="P42" s="6" t="str">
        <x:v>Resistor_SMD:R_0402_1005Metric</x:v>
      </x:c>
      <x:c r="Q42" s="6" t="str">
        <x:v>8d436312-2557-4cb3-b5bc-ffbe7040997d</x:v>
      </x:c>
      <x:c r="R42" s="6" t="str">
        <x:v>{"Reference":"R7","Value":"22 Ω","Datasheet":"${KIPRJMOD}/../datasheet/pdf/Vishay_CRCW-HP_e3.pdf","Description":"RS-422 IC-side series resistor, 22 ohm +/-5%, 0402, 0.2 W high-pulse series; prototype surge/ESD performance requires validation","KiLib_Generator":"SMD_2terminal_chip_molded","MPN":"CRCW040222R0JNEDHP","Manufacturer":"Vishay"}</x:v>
      </x:c>
    </x:row>
    <x:row r="43" ht="22" customHeight="1">
      <x:c r="A43" s="2" t="str">
        <x:v>R8</x:v>
      </x:c>
      <x:c r="B43" s="2" t="str">
        <x:v>22 Ω</x:v>
      </x:c>
      <x:c r="C43" s="2" t="str">
        <x:v>Bottom</x:v>
      </x:c>
      <x:c r="D43" s="19" t="n">
        <x:v>15.6</x:v>
      </x:c>
      <x:c r="E43" s="19" t="n">
        <x:v>16.3</x:v>
      </x:c>
      <x:c r="F43" s="21" t="n">
        <x:v>180</x:v>
      </x:c>
      <x:c r="G43" s="21" t="n">
        <x:v>180</x:v>
      </x:c>
      <x:c r="H43" s="2" t="str">
        <x:v>실장부품</x:v>
      </x:c>
      <x:c r="I43" s="23" t="str">
        <x:v>예</x:v>
      </x:c>
      <x:c r="J43" s="23" t="str">
        <x:v>예</x:v>
      </x:c>
      <x:c r="K43" s="23" t="str">
        <x:v>아니오</x:v>
      </x:c>
      <x:c r="L43" s="23" t="str">
        <x:v>아니오</x:v>
      </x:c>
      <x:c r="M43" s="23" t="str">
        <x:v>아니오</x:v>
      </x:c>
      <x:c r="N43" s="19" t="n">
        <x:v>16.11</x:v>
      </x:c>
      <x:c r="O43" s="19" t="n">
        <x:v>16.3</x:v>
      </x:c>
      <x:c r="P43" s="2" t="str">
        <x:v>Resistor_SMD:R_0402_1005Metric</x:v>
      </x:c>
      <x:c r="Q43" s="2" t="str">
        <x:v>57f47704-9f4f-4c82-b527-51a29585891c</x:v>
      </x:c>
      <x:c r="R43" s="2" t="str">
        <x:v>{"Reference":"R8","Value":"22 Ω","Datasheet":"${KIPRJMOD}/../datasheet/pdf/Vishay_CRCW-HP_e3.pdf","Description":"RS-422 IC-side series resistor, 22 ohm +/-5%, 0402, 0.2 W high-pulse series; prototype surge/ESD performance requires validation","KiLib_Generator":"SMD_2terminal_chip_molded","MPN":"CRCW040222R0JNEDHP","Manufacturer":"Vishay"}</x:v>
      </x:c>
    </x:row>
    <x:row r="44" ht="22" customHeight="1">
      <x:c r="A44" s="6" t="str">
        <x:v>U1</x:v>
      </x:c>
      <x:c r="B44" s="6" t="str">
        <x:v>MAXM86161EFD+</x:v>
      </x:c>
      <x:c r="C44" s="6" t="str">
        <x:v>Top</x:v>
      </x:c>
      <x:c r="D44" s="18" t="n">
        <x:v>20</x:v>
      </x:c>
      <x:c r="E44" s="18" t="n">
        <x:v>17</x:v>
      </x:c>
      <x:c r="F44" s="20" t="n">
        <x:v>0</x:v>
      </x:c>
      <x:c r="G44" s="20" t="n">
        <x:v>0</x:v>
      </x:c>
      <x:c r="H44" s="6" t="str">
        <x:v>실장부품</x:v>
      </x:c>
      <x:c r="I44" s="22" t="str">
        <x:v>예</x:v>
      </x:c>
      <x:c r="J44" s="22" t="str">
        <x:v>예</x:v>
      </x:c>
      <x:c r="K44" s="22" t="str">
        <x:v>아니오</x:v>
      </x:c>
      <x:c r="L44" s="22" t="str">
        <x:v>아니오</x:v>
      </x:c>
      <x:c r="M44" s="22" t="str">
        <x:v>아니오</x:v>
      </x:c>
      <x:c r="N44" s="18" t="n">
        <x:v>19.05</x:v>
      </x:c>
      <x:c r="O44" s="18" t="n">
        <x:v>15.2</x:v>
      </x:c>
      <x:c r="P44" s="6" t="str">
        <x:v>SleepBud:MAXM86161_OLGA-14</x:v>
      </x:c>
      <x:c r="Q44" s="6" t="str">
        <x:v>21916b02-3ade-407b-80ad-7ad9e894f3c3</x:v>
      </x:c>
      <x:c r="R44" s="6" t="str">
        <x:v>{"Reference":"U1","Value":"MAXM86161EFD+","Datasheet":"","Description":"PPG optical module (G/R/IR LED + PD + AFE), single supply, internal 1.8 V LDO, I2C 0x62","MPN":"","Manufacturer":""}</x:v>
      </x:c>
    </x:row>
    <x:row r="45" ht="22" customHeight="1">
      <x:c r="A45" s="2" t="str">
        <x:v>U2</x:v>
      </x:c>
      <x:c r="B45" s="2" t="str">
        <x:v>STM32C011F6U6</x:v>
      </x:c>
      <x:c r="C45" s="2" t="str">
        <x:v>Bottom</x:v>
      </x:c>
      <x:c r="D45" s="19" t="n">
        <x:v>18.3419</x:v>
      </x:c>
      <x:c r="E45" s="19" t="n">
        <x:v>17.2749</x:v>
      </x:c>
      <x:c r="F45" s="21" t="n">
        <x:v>90</x:v>
      </x:c>
      <x:c r="G45" s="21" t="n">
        <x:v>90</x:v>
      </x:c>
      <x:c r="H45" s="2" t="str">
        <x:v>실장부품</x:v>
      </x:c>
      <x:c r="I45" s="23" t="str">
        <x:v>예</x:v>
      </x:c>
      <x:c r="J45" s="23" t="str">
        <x:v>예</x:v>
      </x:c>
      <x:c r="K45" s="23" t="str">
        <x:v>아니오</x:v>
      </x:c>
      <x:c r="L45" s="23" t="str">
        <x:v>아니오</x:v>
      </x:c>
      <x:c r="M45" s="23" t="str">
        <x:v>아니오</x:v>
      </x:c>
      <x:c r="N45" s="19" t="n">
        <x:v>19.3419</x:v>
      </x:c>
      <x:c r="O45" s="19" t="n">
        <x:v>18.7499</x:v>
      </x:c>
      <x:c r="P45" s="2" t="str">
        <x:v>Package_DFN_QFN:ST_UFQFPN-20_3x3mm_P0.5mm</x:v>
      </x:c>
      <x:c r="Q45" s="2" t="str">
        <x:v>d82884e1-378d-4449-a414-f8b884646dbb</x:v>
      </x:c>
      <x:c r="R45" s="2" t="str">
        <x:v>{"Reference":"U2","Value":"STM32C011F6U6","Datasheet":"","Description":"MCU, USART1 (PA9/PA10) &lt;-&gt; RS-422 driver/receiver, I2C1 (PB6/PB7) -&gt; PPG; USART bootloader over the link","MPN":"","Manufacturer":""}</x:v>
      </x:c>
    </x:row>
    <x:row r="46" ht="22" customHeight="1">
      <x:c r="A46" s="6" t="str">
        <x:v>U3</x:v>
      </x:c>
      <x:c r="B46" s="6" t="str">
        <x:v>XR33194ESBTR</x:v>
      </x:c>
      <x:c r="C46" s="6" t="str">
        <x:v>Bottom</x:v>
      </x:c>
      <x:c r="D46" s="18" t="n">
        <x:v>23</x:v>
      </x:c>
      <x:c r="E46" s="18" t="n">
        <x:v>13.9</x:v>
      </x:c>
      <x:c r="F46" s="20" t="n">
        <x:v>45</x:v>
      </x:c>
      <x:c r="G46" s="20" t="n">
        <x:v>45</x:v>
      </x:c>
      <x:c r="H46" s="6" t="str">
        <x:v>실장부품</x:v>
      </x:c>
      <x:c r="I46" s="22" t="str">
        <x:v>예</x:v>
      </x:c>
      <x:c r="J46" s="22" t="str">
        <x:v>예</x:v>
      </x:c>
      <x:c r="K46" s="22" t="str">
        <x:v>아니오</x:v>
      </x:c>
      <x:c r="L46" s="22" t="str">
        <x:v>아니오</x:v>
      </x:c>
      <x:c r="M46" s="22" t="str">
        <x:v>아니오</x:v>
      </x:c>
      <x:c r="N46" s="18" t="n">
        <x:v>22.823223</x:v>
      </x:c>
      <x:c r="O46" s="18" t="n">
        <x:v>15.42028</x:v>
      </x:c>
      <x:c r="P46" s="6" t="str">
        <x:v>SleepBud:TSOT23-6_MaxLinear</x:v>
      </x:c>
      <x:c r="Q46" s="6" t="str">
        <x:v>4e35e779-0e69-46d5-b5c9-4e585293b3a0</x:v>
      </x:c>
      <x:c r="R46" s="6" t="str">
        <x:v>{"Reference":"U3","Value":"XR33194ESBTR","Datasheet":"${KIPRJMOD}/../datasheet/pdf/XR33193_XR33194_XR33195_MaxLinear.pdf","Description":"RS-422 driver, 2.5 Mbps slew-rate limited, VCC 3.3 V +/-5%; pin 2 VCC and pin 3 DE tied to 3V3; TSOT-23-6","MPN":"XR33194ESBTR","Manufacturer":"MaxLinear"}</x:v>
      </x:c>
    </x:row>
    <x:row r="47" ht="22" customHeight="1">
      <x:c r="A47" s="2" t="str">
        <x:v>U4</x:v>
      </x:c>
      <x:c r="B47" s="2" t="str">
        <x:v>MCP1703A-5002E/MC</x:v>
      </x:c>
      <x:c r="C47" s="2" t="str">
        <x:v>Bottom</x:v>
      </x:c>
      <x:c r="D47" s="19" t="n">
        <x:v>18.7257</x:v>
      </x:c>
      <x:c r="E47" s="19" t="n">
        <x:v>21.7439</x:v>
      </x:c>
      <x:c r="F47" s="21" t="n">
        <x:v>180</x:v>
      </x:c>
      <x:c r="G47" s="21" t="n">
        <x:v>180</x:v>
      </x:c>
      <x:c r="H47" s="2" t="str">
        <x:v>실장부품</x:v>
      </x:c>
      <x:c r="I47" s="23" t="str">
        <x:v>예</x:v>
      </x:c>
      <x:c r="J47" s="23" t="str">
        <x:v>예</x:v>
      </x:c>
      <x:c r="K47" s="23" t="str">
        <x:v>아니오</x:v>
      </x:c>
      <x:c r="L47" s="23" t="str">
        <x:v>아니오</x:v>
      </x:c>
      <x:c r="M47" s="23" t="str">
        <x:v>아니오</x:v>
      </x:c>
      <x:c r="N47" s="19" t="n">
        <x:v>19.6657</x:v>
      </x:c>
      <x:c r="O47" s="19" t="n">
        <x:v>20.9939</x:v>
      </x:c>
      <x:c r="P47" s="2" t="str">
        <x:v>Package_DFN_QFN:DFN-8-1EP_2x3mm_P0.5mm_EP0.61x2.2mm</x:v>
      </x:c>
      <x:c r="Q47" s="2" t="str">
        <x:v>db6d1e9e-7e3d-4509-85a8-e1c52b3be142</x:v>
      </x:c>
      <x:c r="R47" s="2" t="str">
        <x:v>{"Reference":"U4","Value":"MCP1703A-5002E/MC","Datasheet":"","Description":"LDO 12 V -&gt; 5 V (VLED)","KiLib_Generator":"package/no_lead","MPN":"","Manufacturer":""}</x:v>
      </x:c>
    </x:row>
    <x:row r="48" ht="22" customHeight="1">
      <x:c r="A48" s="6" t="str">
        <x:v>U5</x:v>
      </x:c>
      <x:c r="B48" s="6" t="str">
        <x:v>MCP1703A-3302E/MC</x:v>
      </x:c>
      <x:c r="C48" s="6" t="str">
        <x:v>Bottom</x:v>
      </x:c>
      <x:c r="D48" s="18" t="n">
        <x:v>22.7848</x:v>
      </x:c>
      <x:c r="E48" s="18" t="n">
        <x:v>21.1348</x:v>
      </x:c>
      <x:c r="F48" s="20" t="n">
        <x:v>-135</x:v>
      </x:c>
      <x:c r="G48" s="20" t="n">
        <x:v>-135</x:v>
      </x:c>
      <x:c r="H48" s="6" t="str">
        <x:v>실장부품</x:v>
      </x:c>
      <x:c r="I48" s="22" t="str">
        <x:v>예</x:v>
      </x:c>
      <x:c r="J48" s="22" t="str">
        <x:v>예</x:v>
      </x:c>
      <x:c r="K48" s="22" t="str">
        <x:v>아니오</x:v>
      </x:c>
      <x:c r="L48" s="22" t="str">
        <x:v>아니오</x:v>
      </x:c>
      <x:c r="M48" s="22" t="str">
        <x:v>아니오</x:v>
      </x:c>
      <x:c r="N48" s="18" t="n">
        <x:v>22.91915</x:v>
      </x:c>
      <x:c r="O48" s="18" t="n">
        <x:v>19.93979</x:v>
      </x:c>
      <x:c r="P48" s="6" t="str">
        <x:v>Package_DFN_QFN:DFN-8-1EP_2x3mm_P0.5mm_EP0.61x2.2mm</x:v>
      </x:c>
      <x:c r="Q48" s="6" t="str">
        <x:v>eec62f09-1ffa-4e20-9efa-35690f5825d0</x:v>
      </x:c>
      <x:c r="R48" s="6" t="str">
        <x:v>{"Reference":"U5","Value":"MCP1703A-3302E/MC","Datasheet":"","Description":"LDO 5 V -&gt; 3.3 V","KiLib_Generator":"package/no_lead","MPN":"","Manufacturer":""}</x:v>
      </x:c>
    </x:row>
    <x:row r="49" ht="22" customHeight="1">
      <x:c r="A49" s="2" t="str">
        <x:v>U6</x:v>
      </x:c>
      <x:c r="B49" s="2" t="str">
        <x:v>XR33183ESBTR</x:v>
      </x:c>
      <x:c r="C49" s="2" t="str">
        <x:v>Bottom</x:v>
      </x:c>
      <x:c r="D49" s="19" t="n">
        <x:v>17.81</x:v>
      </x:c>
      <x:c r="E49" s="19" t="n">
        <x:v>13.7663</x:v>
      </x:c>
      <x:c r="F49" s="21" t="n">
        <x:v>180</x:v>
      </x:c>
      <x:c r="G49" s="21" t="n">
        <x:v>180</x:v>
      </x:c>
      <x:c r="H49" s="2" t="str">
        <x:v>실장부품</x:v>
      </x:c>
      <x:c r="I49" s="23" t="str">
        <x:v>예</x:v>
      </x:c>
      <x:c r="J49" s="23" t="str">
        <x:v>예</x:v>
      </x:c>
      <x:c r="K49" s="23" t="str">
        <x:v>아니오</x:v>
      </x:c>
      <x:c r="L49" s="23" t="str">
        <x:v>아니오</x:v>
      </x:c>
      <x:c r="M49" s="23" t="str">
        <x:v>아니오</x:v>
      </x:c>
      <x:c r="N49" s="19" t="n">
        <x:v>19.01</x:v>
      </x:c>
      <x:c r="O49" s="19" t="n">
        <x:v>12.8163</x:v>
      </x:c>
      <x:c r="P49" s="2" t="str">
        <x:v>SleepBud:TSOT23-6_MaxLinear</x:v>
      </x:c>
      <x:c r="Q49" s="2" t="str">
        <x:v>e040f3aa-757e-4789-898a-55be20eb7856</x:v>
      </x:c>
      <x:c r="R49" s="2" t="str">
        <x:v>{"Reference":"U6","Value":"XR33183ESBTR","Datasheet":"${KIPRJMOD}/../datasheet/pdf/XR33180_XR33181_XR33183_XR33184_MaxLinear.pdf","Description":"RS-422 receiver, 52 Mbps, enhanced open/short/idle fail-safe RO high; VCC 3.0-5.5 V; pin 2 GND and active-low EN pin 5 tied to GND; external R3 120 ohm receive termination; TSOT-23-6","MPN":"XR33183ESBTR","Manufacturer":"MaxLinear"}</x:v>
      </x:c>
    </x:row>
  </x:sheetData>
  <x:pageMargins left="0.7" right="0.7" top="0.75" bottom="0.75" header="0.3" footer="0.3"/>
  <x:tableParts count="1">
    <x:tablePart xmlns:r="http://schemas.openxmlformats.org/officeDocument/2006/relationships" r:id="R96ddac190e3a469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9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4" max="14" width="14" hidden="0" customWidth="1"/>
    <x:col min="15" max="15" width="14" hidden="0" customWidth="1"/>
    <x:col min="16" max="16" width="65" hidden="0" customWidth="1"/>
    <x:col min="17" max="17" width="42" hidden="0" customWidth="1"/>
    <x:col min="18" max="18" width="9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5" customHeight="1">
      <x:c r="A2" s="3" t="str">
        <x:v>UART 원본 좌표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2" customHeight="1">
      <x:c r="A4" s="5" t="str">
        <x:v>원본 KiCad 좌표: X 우측 +, Y 아래쪽 + / mm / 풋프린트 기준점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2" customHeight="1">
      <x:c r="A5" s="2" t="str">
        <x:v>kicad/ppg_uart_adapter/ppg_uart_adapter_v01.kicad_pcb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2" customHeight="1">
      <x:c r="A6" s="2" t="str">
        <x:v>SHA-256: dc9846308f960d4a7d07a931229f7b5ec0d9006f6d22199e07f73a14362606c7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34" customHeight="1">
      <x:c r="A7" s="15" t="str">
        <x:v>Ref</x:v>
      </x:c>
      <x:c r="B7" s="16" t="str">
        <x:v>부품 값</x:v>
      </x:c>
      <x:c r="C7" s="16" t="str">
        <x:v>면</x:v>
      </x:c>
      <x:c r="D7" s="16" t="str">
        <x:v>원본 X (mm)</x:v>
      </x:c>
      <x:c r="E7" s="16" t="str">
        <x:v>원본 Y (mm)</x:v>
      </x:c>
      <x:c r="F7" s="16" t="str">
        <x:v>원본 각도 (°)</x:v>
      </x:c>
      <x:c r="G7" s="16" t="str">
        <x:v>POS 각도 (°)</x:v>
      </x:c>
      <x:c r="H7" s="16" t="str">
        <x:v>구분</x:v>
      </x:c>
      <x:c r="I7" s="16" t="str">
        <x:v>SMT 대상</x:v>
      </x:c>
      <x:c r="J7" s="16" t="str">
        <x:v>SMD 속성</x:v>
      </x:c>
      <x:c r="K7" s="16" t="str">
        <x:v>POS 제외</x:v>
      </x:c>
      <x:c r="L7" s="16" t="str">
        <x:v>DNP</x:v>
      </x:c>
      <x:c r="M7" s="16" t="str">
        <x:v>BOM 제외</x:v>
      </x:c>
      <x:c r="N7" s="16" t="str">
        <x:v>핀 1 X (mm)</x:v>
      </x:c>
      <x:c r="O7" s="16" t="str">
        <x:v>핀 1 Y (mm)</x:v>
      </x:c>
      <x:c r="P7" s="16" t="str">
        <x:v>풋프린트</x:v>
      </x:c>
      <x:c r="Q7" s="16" t="str">
        <x:v>UUID</x:v>
      </x:c>
      <x:c r="R7" s="17" t="str">
        <x:v>원본 속성</x:v>
      </x:c>
    </x:row>
    <x:row r="8" ht="22" customHeight="1">
      <x:c r="A8" s="6" t="str">
        <x:v>C1</x:v>
      </x:c>
      <x:c r="B8" s="6" t="str">
        <x:v>10 µF</x:v>
      </x:c>
      <x:c r="C8" s="6" t="str">
        <x:v>Bottom</x:v>
      </x:c>
      <x:c r="D8" s="18" t="n">
        <x:v>105.6</x:v>
      </x:c>
      <x:c r="E8" s="18" t="n">
        <x:v>105</x:v>
      </x:c>
      <x:c r="F8" s="20" t="n">
        <x:v>180</x:v>
      </x:c>
      <x:c r="G8" s="20" t="n">
        <x:v>180</x:v>
      </x:c>
      <x:c r="H8" s="6" t="str">
        <x:v>실장부품</x:v>
      </x:c>
      <x:c r="I8" s="22" t="str">
        <x:v>예</x:v>
      </x:c>
      <x:c r="J8" s="22" t="str">
        <x:v>예</x:v>
      </x:c>
      <x:c r="K8" s="22" t="str">
        <x:v>아니오</x:v>
      </x:c>
      <x:c r="L8" s="22" t="str">
        <x:v>아니오</x:v>
      </x:c>
      <x:c r="M8" s="22" t="str">
        <x:v>아니오</x:v>
      </x:c>
      <x:c r="N8" s="18" t="n">
        <x:v>106.375</x:v>
      </x:c>
      <x:c r="O8" s="18" t="n">
        <x:v>105</x:v>
      </x:c>
      <x:c r="P8" s="6" t="str">
        <x:v>Capacitor_SMD:C_0603_1608Metric</x:v>
      </x:c>
      <x:c r="Q8" s="6" t="str">
        <x:v>4c08024e-7eb3-441e-95a2-c41d0d503fa8</x:v>
      </x:c>
      <x:c r="R8" s="6" t="str">
        <x:v>{"Reference":"C1","Value":"10 µF","Datasheet":"","Description":"Input bulk MLCC,metric1608; exact MPN pending","KiLib_Generator":"SMD_2terminal_chip_molded","MPN":"","Manufacturer":"","Voltage":"25 V"}</x:v>
      </x:c>
    </x:row>
    <x:row r="9" ht="22" customHeight="1">
      <x:c r="A9" s="2" t="str">
        <x:v>C2</x:v>
      </x:c>
      <x:c r="B9" s="2" t="str">
        <x:v>22 µF</x:v>
      </x:c>
      <x:c r="C9" s="2" t="str">
        <x:v>Bottom</x:v>
      </x:c>
      <x:c r="D9" s="19" t="n">
        <x:v>123.8</x:v>
      </x:c>
      <x:c r="E9" s="19" t="n">
        <x:v>102.8</x:v>
      </x:c>
      <x:c r="F9" s="21" t="n">
        <x:v>0</x:v>
      </x:c>
      <x:c r="G9" s="21" t="n">
        <x:v>0</x:v>
      </x:c>
      <x:c r="H9" s="2" t="str">
        <x:v>실장부품</x:v>
      </x:c>
      <x:c r="I9" s="23" t="str">
        <x:v>예</x:v>
      </x:c>
      <x:c r="J9" s="23" t="str">
        <x:v>예</x:v>
      </x:c>
      <x:c r="K9" s="23" t="str">
        <x:v>아니오</x:v>
      </x:c>
      <x:c r="L9" s="23" t="str">
        <x:v>아니오</x:v>
      </x:c>
      <x:c r="M9" s="23" t="str">
        <x:v>아니오</x:v>
      </x:c>
      <x:c r="N9" s="19" t="n">
        <x:v>123.025</x:v>
      </x:c>
      <x:c r="O9" s="19" t="n">
        <x:v>102.8</x:v>
      </x:c>
      <x:c r="P9" s="2" t="str">
        <x:v>Capacitor_SMD:C_0603_1608Metric</x:v>
      </x:c>
      <x:c r="Q9" s="2" t="str">
        <x:v>8c901927-f4f9-4130-94c7-f643bd1e450c</x:v>
      </x:c>
      <x:c r="R9" s="2" t="str">
        <x:v>{"Reference":"C2","Value":"22 µF","Datasheet":"https://product.tdk.com/en/search/capacitor/ceramic/mlcc/info?part_no=C1608X5R1A226M080AC","Description":"Metric1608 X5R MLCC; parallel bank behind R9; total effective capacitance at3.3V must remain &gt;=10uF including tolerance","KiLib_Generator":"SMD_2terminal_chip_molded","MPN":"C1608X5R1A226M080AC","Manufacturer":"TDK","Voltage":"10 V","Tolerance":"20%","Dielectric":"X5R"}</x:v>
      </x:c>
    </x:row>
    <x:row r="10" ht="22" customHeight="1">
      <x:c r="A10" s="6" t="str">
        <x:v>C3</x:v>
      </x:c>
      <x:c r="B10" s="6" t="str">
        <x:v>100 nF</x:v>
      </x:c>
      <x:c r="C10" s="6" t="str">
        <x:v>Bottom</x:v>
      </x:c>
      <x:c r="D10" s="18" t="n">
        <x:v>105.6</x:v>
      </x:c>
      <x:c r="E10" s="18" t="n">
        <x:v>107</x:v>
      </x:c>
      <x:c r="F10" s="20" t="n">
        <x:v>180</x:v>
      </x:c>
      <x:c r="G10" s="20" t="n">
        <x:v>180</x:v>
      </x:c>
      <x:c r="H10" s="6" t="str">
        <x:v>실장부품</x:v>
      </x:c>
      <x:c r="I10" s="22" t="str">
        <x:v>예</x:v>
      </x:c>
      <x:c r="J10" s="22" t="str">
        <x:v>예</x:v>
      </x:c>
      <x:c r="K10" s="22" t="str">
        <x:v>아니오</x:v>
      </x:c>
      <x:c r="L10" s="22" t="str">
        <x:v>아니오</x:v>
      </x:c>
      <x:c r="M10" s="22" t="str">
        <x:v>아니오</x:v>
      </x:c>
      <x:c r="N10" s="18" t="n">
        <x:v>106.375</x:v>
      </x:c>
      <x:c r="O10" s="18" t="n">
        <x:v>107</x:v>
      </x:c>
      <x:c r="P10" s="6" t="str">
        <x:v>Capacitor_SMD:C_0603_1608Metric</x:v>
      </x:c>
      <x:c r="Q10" s="6" t="str">
        <x:v>057af897-2ba3-448c-be4b-fd92e778573a</x:v>
      </x:c>
      <x:c r="R10" s="6" t="str">
        <x:v>{"Reference":"C3","Value":"100 nF","Datasheet":"","Description":"Place at LD1117 input; metric1608 MLCC","KiLib_Generator":"SMD_2terminal_chip_molded","MPN":"","Manufacturer":"","Voltage":"25 V"}</x:v>
      </x:c>
    </x:row>
    <x:row r="11" ht="22" customHeight="1">
      <x:c r="A11" s="2" t="str">
        <x:v>C4</x:v>
      </x:c>
      <x:c r="B11" s="2" t="str">
        <x:v>100 nF</x:v>
      </x:c>
      <x:c r="C11" s="2" t="str">
        <x:v>Bottom</x:v>
      </x:c>
      <x:c r="D11" s="19" t="n">
        <x:v>112.2</x:v>
      </x:c>
      <x:c r="E11" s="19" t="n">
        <x:v>110.2</x:v>
      </x:c>
      <x:c r="F11" s="21" t="n">
        <x:v>-90</x:v>
      </x:c>
      <x:c r="G11" s="21" t="n">
        <x:v>-90</x:v>
      </x:c>
      <x:c r="H11" s="2" t="str">
        <x:v>실장부품</x:v>
      </x:c>
      <x:c r="I11" s="23" t="str">
        <x:v>예</x:v>
      </x:c>
      <x:c r="J11" s="23" t="str">
        <x:v>예</x:v>
      </x:c>
      <x:c r="K11" s="23" t="str">
        <x:v>아니오</x:v>
      </x:c>
      <x:c r="L11" s="23" t="str">
        <x:v>아니오</x:v>
      </x:c>
      <x:c r="M11" s="23" t="str">
        <x:v>아니오</x:v>
      </x:c>
      <x:c r="N11" s="19" t="n">
        <x:v>112.2</x:v>
      </x:c>
      <x:c r="O11" s="19" t="n">
        <x:v>109.425</x:v>
      </x:c>
      <x:c r="P11" s="2" t="str">
        <x:v>Capacitor_SMD:C_0603_1608Metric</x:v>
      </x:c>
      <x:c r="Q11" s="2" t="str">
        <x:v>28150572-9449-4eb0-b9b7-4569ae7efe76</x:v>
      </x:c>
      <x:c r="R11" s="2" t="str">
        <x:v>{"Reference":"C4","Value":"100 nF","Datasheet":"","Description":"U2 VCC local bypass; metric1608 MLCC","KiLib_Generator":"SMD_2terminal_chip_molded","MPN":"","Manufacturer":"","Voltage":"25 V"}</x:v>
      </x:c>
    </x:row>
    <x:row r="12" ht="22" customHeight="1">
      <x:c r="A12" s="6" t="str">
        <x:v>C5</x:v>
      </x:c>
      <x:c r="B12" s="6" t="str">
        <x:v>100 nF</x:v>
      </x:c>
      <x:c r="C12" s="6" t="str">
        <x:v>Bottom</x:v>
      </x:c>
      <x:c r="D12" s="18" t="n">
        <x:v>102.7</x:v>
      </x:c>
      <x:c r="E12" s="18" t="n">
        <x:v>109.8</x:v>
      </x:c>
      <x:c r="F12" s="20" t="n">
        <x:v>180</x:v>
      </x:c>
      <x:c r="G12" s="20" t="n">
        <x:v>180</x:v>
      </x:c>
      <x:c r="H12" s="6" t="str">
        <x:v>실장부품</x:v>
      </x:c>
      <x:c r="I12" s="22" t="str">
        <x:v>예</x:v>
      </x:c>
      <x:c r="J12" s="22" t="str">
        <x:v>예</x:v>
      </x:c>
      <x:c r="K12" s="22" t="str">
        <x:v>아니오</x:v>
      </x:c>
      <x:c r="L12" s="22" t="str">
        <x:v>아니오</x:v>
      </x:c>
      <x:c r="M12" s="22" t="str">
        <x:v>아니오</x:v>
      </x:c>
      <x:c r="N12" s="18" t="n">
        <x:v>103.475</x:v>
      </x:c>
      <x:c r="O12" s="18" t="n">
        <x:v>109.8</x:v>
      </x:c>
      <x:c r="P12" s="6" t="str">
        <x:v>Capacitor_SMD:C_0603_1608Metric</x:v>
      </x:c>
      <x:c r="Q12" s="6" t="str">
        <x:v>467b82e1-e522-49bd-98e2-d7e199f5cc8c</x:v>
      </x:c>
      <x:c r="R12" s="6" t="str">
        <x:v>{"Reference":"C5","Value":"100 nF","Datasheet":"","Description":"U3 VCC local bypass; metric1608 MLCC","KiLib_Generator":"SMD_2terminal_chip_molded","MPN":"","Manufacturer":"","Voltage":"25 V"}</x:v>
      </x:c>
    </x:row>
    <x:row r="13" ht="22" customHeight="1">
      <x:c r="A13" s="2" t="str">
        <x:v>C6</x:v>
      </x:c>
      <x:c r="B13" s="2" t="str">
        <x:v>22 µF</x:v>
      </x:c>
      <x:c r="C13" s="2" t="str">
        <x:v>Bottom</x:v>
      </x:c>
      <x:c r="D13" s="19" t="n">
        <x:v>123.8</x:v>
      </x:c>
      <x:c r="E13" s="19" t="n">
        <x:v>104.6</x:v>
      </x:c>
      <x:c r="F13" s="21" t="n">
        <x:v>0</x:v>
      </x:c>
      <x:c r="G13" s="21" t="n">
        <x:v>0</x:v>
      </x:c>
      <x:c r="H13" s="2" t="str">
        <x:v>실장부품</x:v>
      </x:c>
      <x:c r="I13" s="23" t="str">
        <x:v>예</x:v>
      </x:c>
      <x:c r="J13" s="23" t="str">
        <x:v>예</x:v>
      </x:c>
      <x:c r="K13" s="23" t="str">
        <x:v>아니오</x:v>
      </x:c>
      <x:c r="L13" s="23" t="str">
        <x:v>아니오</x:v>
      </x:c>
      <x:c r="M13" s="23" t="str">
        <x:v>아니오</x:v>
      </x:c>
      <x:c r="N13" s="19" t="n">
        <x:v>123.025</x:v>
      </x:c>
      <x:c r="O13" s="19" t="n">
        <x:v>104.6</x:v>
      </x:c>
      <x:c r="P13" s="2" t="str">
        <x:v>Capacitor_SMD:C_0603_1608Metric</x:v>
      </x:c>
      <x:c r="Q13" s="2" t="str">
        <x:v>b15184fd-6497-4708-aa43-6e840c8014fe</x:v>
      </x:c>
      <x:c r="R13" s="2" t="str">
        <x:v>{"Reference":"C6","Value":"22 µF","Datasheet":"https://product.tdk.com/en/search/capacitor/ceramic/mlcc/info?part_no=C1608X5R1A226M080AC","Description":"Metric1608 X5R MLCC; parallel bank behind R9; total effective capacitance at3.3V must remain &gt;=10uF including tolerance","KiLib_Generator":"SMD_2terminal_chip_molded","MPN":"C1608X5R1A226M080AC","Manufacturer":"TDK","Voltage":"10 V","Tolerance":"20%","Dielectric":"X5R"}</x:v>
      </x:c>
    </x:row>
    <x:row r="14" ht="22" customHeight="1">
      <x:c r="A14" s="6" t="str">
        <x:v>C7</x:v>
      </x:c>
      <x:c r="B14" s="6" t="str">
        <x:v>22 µF</x:v>
      </x:c>
      <x:c r="C14" s="6" t="str">
        <x:v>Bottom</x:v>
      </x:c>
      <x:c r="D14" s="18" t="n">
        <x:v>123.8</x:v>
      </x:c>
      <x:c r="E14" s="18" t="n">
        <x:v>106.4</x:v>
      </x:c>
      <x:c r="F14" s="20" t="n">
        <x:v>0</x:v>
      </x:c>
      <x:c r="G14" s="20" t="n">
        <x:v>0</x:v>
      </x:c>
      <x:c r="H14" s="6" t="str">
        <x:v>실장부품</x:v>
      </x:c>
      <x:c r="I14" s="22" t="str">
        <x:v>예</x:v>
      </x:c>
      <x:c r="J14" s="22" t="str">
        <x:v>예</x:v>
      </x:c>
      <x:c r="K14" s="22" t="str">
        <x:v>아니오</x:v>
      </x:c>
      <x:c r="L14" s="22" t="str">
        <x:v>아니오</x:v>
      </x:c>
      <x:c r="M14" s="22" t="str">
        <x:v>아니오</x:v>
      </x:c>
      <x:c r="N14" s="18" t="n">
        <x:v>123.025</x:v>
      </x:c>
      <x:c r="O14" s="18" t="n">
        <x:v>106.4</x:v>
      </x:c>
      <x:c r="P14" s="6" t="str">
        <x:v>Capacitor_SMD:C_0603_1608Metric</x:v>
      </x:c>
      <x:c r="Q14" s="6" t="str">
        <x:v>404d65ac-c0a0-44c6-a708-08513ab4814d</x:v>
      </x:c>
      <x:c r="R14" s="6" t="str">
        <x:v>{"Reference":"C7","Value":"22 µF","Datasheet":"https://product.tdk.com/en/search/capacitor/ceramic/mlcc/info?part_no=C1608X5R1A226M080AC","Description":"Metric1608 X5R MLCC; parallel bank behind R9; total effective capacitance at3.3V must remain &gt;=10uF including tolerance","KiLib_Generator":"SMD_2terminal_chip_molded","MPN":"C1608X5R1A226M080AC","Manufacturer":"TDK","Voltage":"10 V","Tolerance":"20%","Dielectric":"X5R"}</x:v>
      </x:c>
    </x:row>
    <x:row r="15" ht="22" customHeight="1">
      <x:c r="A15" s="2" t="str">
        <x:v>C8</x:v>
      </x:c>
      <x:c r="B15" s="2" t="str">
        <x:v>22 µF</x:v>
      </x:c>
      <x:c r="C15" s="2" t="str">
        <x:v>Bottom</x:v>
      </x:c>
      <x:c r="D15" s="19" t="n">
        <x:v>123.8</x:v>
      </x:c>
      <x:c r="E15" s="19" t="n">
        <x:v>108.2</x:v>
      </x:c>
      <x:c r="F15" s="21" t="n">
        <x:v>0</x:v>
      </x:c>
      <x:c r="G15" s="21" t="n">
        <x:v>0</x:v>
      </x:c>
      <x:c r="H15" s="2" t="str">
        <x:v>실장부품</x:v>
      </x:c>
      <x:c r="I15" s="23" t="str">
        <x:v>예</x:v>
      </x:c>
      <x:c r="J15" s="23" t="str">
        <x:v>예</x:v>
      </x:c>
      <x:c r="K15" s="23" t="str">
        <x:v>아니오</x:v>
      </x:c>
      <x:c r="L15" s="23" t="str">
        <x:v>아니오</x:v>
      </x:c>
      <x:c r="M15" s="23" t="str">
        <x:v>아니오</x:v>
      </x:c>
      <x:c r="N15" s="19" t="n">
        <x:v>123.025</x:v>
      </x:c>
      <x:c r="O15" s="19" t="n">
        <x:v>108.2</x:v>
      </x:c>
      <x:c r="P15" s="2" t="str">
        <x:v>Capacitor_SMD:C_0603_1608Metric</x:v>
      </x:c>
      <x:c r="Q15" s="2" t="str">
        <x:v>747aba6d-6cba-4e3a-8228-bf7e160276a9</x:v>
      </x:c>
      <x:c r="R15" s="2" t="str">
        <x:v>{"Reference":"C8","Value":"22 µF","Datasheet":"https://product.tdk.com/en/search/capacitor/ceramic/mlcc/info?part_no=C1608X5R1A226M080AC","Description":"Metric1608 X5R MLCC; parallel bank behind R9; total effective capacitance at3.3V must remain &gt;=10uF including tolerance","KiLib_Generator":"SMD_2terminal_chip_molded","MPN":"C1608X5R1A226M080AC","Manufacturer":"TDK","Voltage":"10 V","Tolerance":"20%","Dielectric":"X5R"}</x:v>
      </x:c>
    </x:row>
    <x:row r="16" ht="22" customHeight="1">
      <x:c r="A16" s="6" t="str">
        <x:v>D1</x:v>
      </x:c>
      <x:c r="B16" s="6" t="str">
        <x:v>CDSOT23-SM712</x:v>
      </x:c>
      <x:c r="C16" s="6" t="str">
        <x:v>Bottom</x:v>
      </x:c>
      <x:c r="D16" s="18" t="n">
        <x:v>106</x:v>
      </x:c>
      <x:c r="E16" s="18" t="n">
        <x:v>119.35</x:v>
      </x:c>
      <x:c r="F16" s="20" t="n">
        <x:v>-90</x:v>
      </x:c>
      <x:c r="G16" s="20" t="n">
        <x:v>-90</x:v>
      </x:c>
      <x:c r="H16" s="6" t="str">
        <x:v>실장부품</x:v>
      </x:c>
      <x:c r="I16" s="22" t="str">
        <x:v>예</x:v>
      </x:c>
      <x:c r="J16" s="22" t="str">
        <x:v>예</x:v>
      </x:c>
      <x:c r="K16" s="22" t="str">
        <x:v>아니오</x:v>
      </x:c>
      <x:c r="L16" s="22" t="str">
        <x:v>아니오</x:v>
      </x:c>
      <x:c r="M16" s="22" t="str">
        <x:v>아니오</x:v>
      </x:c>
      <x:c r="N16" s="18" t="n">
        <x:v>105.05</x:v>
      </x:c>
      <x:c r="O16" s="18" t="n">
        <x:v>118.4125</x:v>
      </x:c>
      <x:c r="P16" s="6" t="str">
        <x:v>Package_TO_SOT_SMD:SOT-23</x:v>
      </x:c>
      <x:c r="Q16" s="6" t="str">
        <x:v>f88f7cf3-ae82-4e6a-97c0-7d8e0676fd38</x:v>
      </x:c>
      <x:c r="R16" s="6" t="str">
        <x:v>{"Reference":"D1","Value":"CDSOT23-SM712","Datasheet":"https://www.bourns.com/pdfs/CDSOT23-SM712.pdf","Description":"Two-line RS422 TVS, pins1/2 signal,pin3GND; connector-side of series resistors","KiLib_Generator":"package/gullwing","MPN":"CDSOT23-SM712","Manufacturer":"Bourns"}</x:v>
      </x:c>
    </x:row>
    <x:row r="17" ht="22" customHeight="1">
      <x:c r="A17" s="2" t="str">
        <x:v>D2</x:v>
      </x:c>
      <x:c r="B17" s="2" t="str">
        <x:v>CDSOT23-SM712</x:v>
      </x:c>
      <x:c r="C17" s="2" t="str">
        <x:v>Bottom</x:v>
      </x:c>
      <x:c r="D17" s="19" t="n">
        <x:v>109.6</x:v>
      </x:c>
      <x:c r="E17" s="19" t="n">
        <x:v>119.35</x:v>
      </x:c>
      <x:c r="F17" s="21" t="n">
        <x:v>-90</x:v>
      </x:c>
      <x:c r="G17" s="21" t="n">
        <x:v>-90</x:v>
      </x:c>
      <x:c r="H17" s="2" t="str">
        <x:v>실장부품</x:v>
      </x:c>
      <x:c r="I17" s="23" t="str">
        <x:v>예</x:v>
      </x:c>
      <x:c r="J17" s="23" t="str">
        <x:v>예</x:v>
      </x:c>
      <x:c r="K17" s="23" t="str">
        <x:v>아니오</x:v>
      </x:c>
      <x:c r="L17" s="23" t="str">
        <x:v>아니오</x:v>
      </x:c>
      <x:c r="M17" s="23" t="str">
        <x:v>아니오</x:v>
      </x:c>
      <x:c r="N17" s="19" t="n">
        <x:v>108.65</x:v>
      </x:c>
      <x:c r="O17" s="19" t="n">
        <x:v>118.4125</x:v>
      </x:c>
      <x:c r="P17" s="2" t="str">
        <x:v>Package_TO_SOT_SMD:SOT-23</x:v>
      </x:c>
      <x:c r="Q17" s="2" t="str">
        <x:v>b0e2b69d-516a-434c-bada-e9e7ce5f2de1</x:v>
      </x:c>
      <x:c r="R17" s="2" t="str">
        <x:v>{"Reference":"D2","Value":"CDSOT23-SM712","Datasheet":"https://www.bourns.com/pdfs/CDSOT23-SM712.pdf","Description":"Transmit pair cable-side protection; far-end termination exists on PPG","KiLib_Generator":"package/gullwing","MPN":"CDSOT23-SM712","Manufacturer":"Bourns"}</x:v>
      </x:c>
    </x:row>
    <x:row r="18" ht="22" customHeight="1">
      <x:c r="A18" s="6" t="str">
        <x:v>D3</x:v>
      </x:c>
      <x:c r="B18" s="6" t="str">
        <x:v>ESD351DPYR</x:v>
      </x:c>
      <x:c r="C18" s="6" t="str">
        <x:v>Bottom</x:v>
      </x:c>
      <x:c r="D18" s="18" t="n">
        <x:v>122.55</x:v>
      </x:c>
      <x:c r="E18" s="18" t="n">
        <x:v>120.4</x:v>
      </x:c>
      <x:c r="F18" s="20" t="n">
        <x:v>180</x:v>
      </x:c>
      <x:c r="G18" s="20" t="n">
        <x:v>180</x:v>
      </x:c>
      <x:c r="H18" s="6" t="str">
        <x:v>실장부품</x:v>
      </x:c>
      <x:c r="I18" s="22" t="str">
        <x:v>예</x:v>
      </x:c>
      <x:c r="J18" s="22" t="str">
        <x:v>예</x:v>
      </x:c>
      <x:c r="K18" s="22" t="str">
        <x:v>아니오</x:v>
      </x:c>
      <x:c r="L18" s="22" t="str">
        <x:v>아니오</x:v>
      </x:c>
      <x:c r="M18" s="22" t="str">
        <x:v>아니오</x:v>
      </x:c>
      <x:c r="N18" s="18" t="n">
        <x:v>122.9</x:v>
      </x:c>
      <x:c r="O18" s="18" t="n">
        <x:v>120.4</x:v>
      </x:c>
      <x:c r="P18" s="6" t="str">
        <x:v>Adapter:TI_DPY0002A_1x0.6</x:v>
      </x:c>
      <x:c r="Q18" s="6" t="str">
        <x:v>a08e43a7-502e-4339-8cb8-3ac6dc7760e1</x:v>
      </x:c>
      <x:c r="R18" s="6" t="str">
        <x:v>{"Reference":"D3","Value":"ESD351DPYR","Datasheet":"https://www.ti.com/lit/ds/symlink/esd351.pdf","Description":"UART connector ESD shunt; route pad to TVS landing before internal series resistor","MPN":"ESD351DPYR","Manufacturer":"Texas Instruments"}</x:v>
      </x:c>
    </x:row>
    <x:row r="19" ht="22" customHeight="1">
      <x:c r="A19" s="2" t="str">
        <x:v>D4</x:v>
      </x:c>
      <x:c r="B19" s="2" t="str">
        <x:v>ESD351DPYR</x:v>
      </x:c>
      <x:c r="C19" s="2" t="str">
        <x:v>Bottom</x:v>
      </x:c>
      <x:c r="D19" s="19" t="n">
        <x:v>125.05</x:v>
      </x:c>
      <x:c r="E19" s="19" t="n">
        <x:v>120.4</x:v>
      </x:c>
      <x:c r="F19" s="21" t="n">
        <x:v>0</x:v>
      </x:c>
      <x:c r="G19" s="21" t="n">
        <x:v>0</x:v>
      </x:c>
      <x:c r="H19" s="2" t="str">
        <x:v>실장부품</x:v>
      </x:c>
      <x:c r="I19" s="23" t="str">
        <x:v>예</x:v>
      </x:c>
      <x:c r="J19" s="23" t="str">
        <x:v>예</x:v>
      </x:c>
      <x:c r="K19" s="23" t="str">
        <x:v>아니오</x:v>
      </x:c>
      <x:c r="L19" s="23" t="str">
        <x:v>아니오</x:v>
      </x:c>
      <x:c r="M19" s="23" t="str">
        <x:v>아니오</x:v>
      </x:c>
      <x:c r="N19" s="19" t="n">
        <x:v>124.7</x:v>
      </x:c>
      <x:c r="O19" s="19" t="n">
        <x:v>120.4</x:v>
      </x:c>
      <x:c r="P19" s="2" t="str">
        <x:v>Adapter:TI_DPY0002A_1x0.6</x:v>
      </x:c>
      <x:c r="Q19" s="2" t="str">
        <x:v>ad7e3fcc-4d1c-4139-acfa-5629e7fd5c04</x:v>
      </x:c>
      <x:c r="R19" s="2" t="str">
        <x:v>{"Reference":"D4","Value":"ESD351DPYR","Datasheet":"https://www.ti.com/lit/ds/symlink/esd351.pdf","Description":"UART connector ESD shunt; route pad to TVS landing before internal series resistor","MPN":"ESD351DPYR","Manufacturer":"Texas Instruments"}</x:v>
      </x:c>
    </x:row>
    <x:row r="20" ht="22" customHeight="1">
      <x:c r="A20" s="6" t="str">
        <x:v>FB1</x:v>
      </x:c>
      <x:c r="B20" s="6" t="str">
        <x:v>BLM15PX601SN1D</x:v>
      </x:c>
      <x:c r="C20" s="6" t="str">
        <x:v>Bottom</x:v>
      </x:c>
      <x:c r="D20" s="18" t="n">
        <x:v>106.375</x:v>
      </x:c>
      <x:c r="E20" s="18" t="n">
        <x:v>102.7</x:v>
      </x:c>
      <x:c r="F20" s="20" t="n">
        <x:v>0</x:v>
      </x:c>
      <x:c r="G20" s="20" t="n">
        <x:v>0</x:v>
      </x:c>
      <x:c r="H20" s="6" t="str">
        <x:v>실장부품</x:v>
      </x:c>
      <x:c r="I20" s="22" t="str">
        <x:v>예</x:v>
      </x:c>
      <x:c r="J20" s="22" t="str">
        <x:v>예</x:v>
      </x:c>
      <x:c r="K20" s="22" t="str">
        <x:v>아니오</x:v>
      </x:c>
      <x:c r="L20" s="22" t="str">
        <x:v>아니오</x:v>
      </x:c>
      <x:c r="M20" s="22" t="str">
        <x:v>아니오</x:v>
      </x:c>
      <x:c r="N20" s="18" t="n">
        <x:v>105.89</x:v>
      </x:c>
      <x:c r="O20" s="18" t="n">
        <x:v>102.7</x:v>
      </x:c>
      <x:c r="P20" s="6" t="str">
        <x:v>Inductor_SMD:L_0402_1005Metric</x:v>
      </x:c>
      <x:c r="Q20" s="6" t="str">
        <x:v>8b85271e-9cdf-433f-b21d-ccfb2cdc136f</x:v>
      </x:c>
      <x:c r="R20" s="6" t="str">
        <x:v>{"Reference":"FB1","Value":"BLM15PX601SN1D","Datasheet":"https://www.murata.com/en-us/products/productdetail?partno=BLM15PX601SN1%23","Description":"Local LDO input filter; PPG power branches before this bead","KiLib_Generator":"SMD_2terminal_chip_molded","MPN":"BLM15PX601SN1D","Manufacturer":"Murata"}</x:v>
      </x:c>
    </x:row>
    <x:row r="21" ht="22" customHeight="1">
      <x:c r="A21" s="2" t="str">
        <x:v>H1</x:v>
      </x:c>
      <x:c r="B21" s="2" t="str">
        <x:v>Ø3.0 mm NPTH</x:v>
      </x:c>
      <x:c r="C21" s="2" t="str">
        <x:v>Bottom</x:v>
      </x:c>
      <x:c r="D21" s="19" t="n">
        <x:v>94.5</x:v>
      </x:c>
      <x:c r="E21" s="19" t="n">
        <x:v>105</x:v>
      </x:c>
      <x:c r="F21" s="21" t="n">
        <x:v>180</x:v>
      </x:c>
      <x:c r="G21" s="21"/>
      <x:c r="H21" s="2" t="str">
        <x:v>기구홀</x:v>
      </x:c>
      <x:c r="I21" s="23" t="str">
        <x:v>아니오</x:v>
      </x:c>
      <x:c r="J21" s="23" t="str">
        <x:v>아니오</x:v>
      </x:c>
      <x:c r="K21" s="23" t="str">
        <x:v>예</x:v>
      </x:c>
      <x:c r="L21" s="23" t="str">
        <x:v>아니오</x:v>
      </x:c>
      <x:c r="M21" s="23" t="str">
        <x:v>아니오</x:v>
      </x:c>
      <x:c r="N21" s="19"/>
      <x:c r="O21" s="19"/>
      <x:c r="P21" s="2" t="str">
        <x:v>Adapter:MountingHole_3mm_Clearance11mm</x:v>
      </x:c>
      <x:c r="Q21" s="2" t="str">
        <x:v>35eac398-f8a0-4dfe-a5cd-a857fd3c6578</x:v>
      </x:c>
      <x:c r="R21" s="2" t="str">
        <x:v>{"Reference":"H1","Value":"Ø3.0 mm NPTH","Datasheet":"","Description":"기구 가공 항목: Ø3.0 mm 비도금 관통 고정홀(NPTH), 부품 실장 없음; 머리 조립 여유 Ø11 mm","MPN":"","Manufacturer":""}</x:v>
      </x:c>
    </x:row>
    <x:row r="22" ht="22" customHeight="1">
      <x:c r="A22" s="6" t="str">
        <x:v>H2</x:v>
      </x:c>
      <x:c r="B22" s="6" t="str">
        <x:v>Ø3.0 mm NPTH</x:v>
      </x:c>
      <x:c r="C22" s="6" t="str">
        <x:v>Bottom</x:v>
      </x:c>
      <x:c r="D22" s="18" t="n">
        <x:v>133.5</x:v>
      </x:c>
      <x:c r="E22" s="18" t="n">
        <x:v>105</x:v>
      </x:c>
      <x:c r="F22" s="20" t="n">
        <x:v>180</x:v>
      </x:c>
      <x:c r="G22" s="20"/>
      <x:c r="H22" s="6" t="str">
        <x:v>기구홀</x:v>
      </x:c>
      <x:c r="I22" s="22" t="str">
        <x:v>아니오</x:v>
      </x:c>
      <x:c r="J22" s="22" t="str">
        <x:v>아니오</x:v>
      </x:c>
      <x:c r="K22" s="22" t="str">
        <x:v>예</x:v>
      </x:c>
      <x:c r="L22" s="22" t="str">
        <x:v>아니오</x:v>
      </x:c>
      <x:c r="M22" s="22" t="str">
        <x:v>아니오</x:v>
      </x:c>
      <x:c r="N22" s="18"/>
      <x:c r="O22" s="18"/>
      <x:c r="P22" s="6" t="str">
        <x:v>Adapter:MountingHole_3mm_Clearance11mm</x:v>
      </x:c>
      <x:c r="Q22" s="6" t="str">
        <x:v>cb3a4cf2-fc5b-40b6-9d47-5b6a5707fa26</x:v>
      </x:c>
      <x:c r="R22" s="6" t="str">
        <x:v>{"Reference":"H2","Value":"Ø3.0 mm NPTH","Datasheet":"","Description":"기구 가공 항목: Ø3.0 mm 비도금 관통 고정홀(NPTH), 부품 실장 없음; 머리 조립 여유 Ø11 mm","MPN":"","Manufacturer":""}</x:v>
      </x:c>
    </x:row>
    <x:row r="23" ht="22" customHeight="1">
      <x:c r="A23" s="2" t="str">
        <x:v>H3</x:v>
      </x:c>
      <x:c r="B23" s="2" t="str">
        <x:v>Ø3.0 mm NPTH</x:v>
      </x:c>
      <x:c r="C23" s="2" t="str">
        <x:v>Bottom</x:v>
      </x:c>
      <x:c r="D23" s="19" t="n">
        <x:v>94.5</x:v>
      </x:c>
      <x:c r="E23" s="19" t="n">
        <x:v>117</x:v>
      </x:c>
      <x:c r="F23" s="21" t="n">
        <x:v>180</x:v>
      </x:c>
      <x:c r="G23" s="21"/>
      <x:c r="H23" s="2" t="str">
        <x:v>기구홀</x:v>
      </x:c>
      <x:c r="I23" s="23" t="str">
        <x:v>아니오</x:v>
      </x:c>
      <x:c r="J23" s="23" t="str">
        <x:v>아니오</x:v>
      </x:c>
      <x:c r="K23" s="23" t="str">
        <x:v>예</x:v>
      </x:c>
      <x:c r="L23" s="23" t="str">
        <x:v>아니오</x:v>
      </x:c>
      <x:c r="M23" s="23" t="str">
        <x:v>아니오</x:v>
      </x:c>
      <x:c r="N23" s="19"/>
      <x:c r="O23" s="19"/>
      <x:c r="P23" s="2" t="str">
        <x:v>Adapter:MountingHole_3mm_Clearance11mm</x:v>
      </x:c>
      <x:c r="Q23" s="2" t="str">
        <x:v>79c10599-9a10-46f4-8716-da842a67055a</x:v>
      </x:c>
      <x:c r="R23" s="2" t="str">
        <x:v>{"Reference":"H3","Value":"Ø3.0 mm NPTH","Datasheet":"","Description":"기구 가공 항목: Ø3.0 mm 비도금 관통 고정홀(NPTH), 부품 실장 없음; 머리 조립 여유 Ø11 mm","MPN":"","Manufacturer":""}</x:v>
      </x:c>
    </x:row>
    <x:row r="24" ht="22" customHeight="1">
      <x:c r="A24" s="6" t="str">
        <x:v>H4</x:v>
      </x:c>
      <x:c r="B24" s="6" t="str">
        <x:v>Ø3.0 mm NPTH</x:v>
      </x:c>
      <x:c r="C24" s="6" t="str">
        <x:v>Bottom</x:v>
      </x:c>
      <x:c r="D24" s="18" t="n">
        <x:v>133.5</x:v>
      </x:c>
      <x:c r="E24" s="18" t="n">
        <x:v>117</x:v>
      </x:c>
      <x:c r="F24" s="20" t="n">
        <x:v>180</x:v>
      </x:c>
      <x:c r="G24" s="20"/>
      <x:c r="H24" s="6" t="str">
        <x:v>기구홀</x:v>
      </x:c>
      <x:c r="I24" s="22" t="str">
        <x:v>아니오</x:v>
      </x:c>
      <x:c r="J24" s="22" t="str">
        <x:v>아니오</x:v>
      </x:c>
      <x:c r="K24" s="22" t="str">
        <x:v>예</x:v>
      </x:c>
      <x:c r="L24" s="22" t="str">
        <x:v>아니오</x:v>
      </x:c>
      <x:c r="M24" s="22" t="str">
        <x:v>아니오</x:v>
      </x:c>
      <x:c r="N24" s="18"/>
      <x:c r="O24" s="18"/>
      <x:c r="P24" s="6" t="str">
        <x:v>Adapter:MountingHole_3mm_Clearance11mm</x:v>
      </x:c>
      <x:c r="Q24" s="6" t="str">
        <x:v>368472ea-c3bc-41d9-a007-ee1b92de56a7</x:v>
      </x:c>
      <x:c r="R24" s="6" t="str">
        <x:v>{"Reference":"H4","Value":"Ø3.0 mm NPTH","Datasheet":"","Description":"기구 가공 항목: Ø3.0 mm 비도금 관통 고정홀(NPTH), 부품 실장 없음; 머리 조립 여유 Ø11 mm","MPN":"","Manufacturer":""}</x:v>
      </x:c>
    </x:row>
    <x:row r="25" ht="22" customHeight="1">
      <x:c r="A25" s="2" t="str">
        <x:v>J1</x:v>
      </x:c>
      <x:c r="B25" s="2" t="str">
        <x:v>9V INPUT</x:v>
      </x:c>
      <x:c r="C25" s="2" t="str">
        <x:v>Bottom</x:v>
      </x:c>
      <x:c r="D25" s="19" t="n">
        <x:v>102.5</x:v>
      </x:c>
      <x:c r="E25" s="19" t="n">
        <x:v>99.75</x:v>
      </x:c>
      <x:c r="F25" s="21" t="n">
        <x:v>0</x:v>
      </x:c>
      <x:c r="G25" s="21" t="n">
        <x:v>0</x:v>
      </x:c>
      <x:c r="H25" s="2" t="str">
        <x:v>납땜/검사 패드</x:v>
      </x:c>
      <x:c r="I25" s="23" t="str">
        <x:v>아니오</x:v>
      </x:c>
      <x:c r="J25" s="23" t="str">
        <x:v>예</x:v>
      </x:c>
      <x:c r="K25" s="23" t="str">
        <x:v>아니오</x:v>
      </x:c>
      <x:c r="L25" s="23" t="str">
        <x:v>아니오</x:v>
      </x:c>
      <x:c r="M25" s="23" t="str">
        <x:v>아니오</x:v>
      </x:c>
      <x:c r="N25" s="19" t="n">
        <x:v>102.5</x:v>
      </x:c>
      <x:c r="O25" s="19" t="n">
        <x:v>99.75</x:v>
      </x:c>
      <x:c r="P25" s="2" t="str">
        <x:v>Adapter:WirePads_1x02_P1.8mm_D1.2</x:v>
      </x:c>
      <x:c r="Q25" s="2" t="str">
        <x:v>2a0f9b0a-4cfc-4f52-b0fa-d1b7bd1dd528</x:v>
      </x:c>
      <x:c r="R25" s="2" t="str">
        <x:v>{"Reference":"J1","Value":"9V INPUT","Datasheet":"","Description":"Wire solder pads; connector mechanical implementation to be reviewed with PCB outline","MPN":"","Manufacturer":""}</x:v>
      </x:c>
    </x:row>
    <x:row r="26" ht="22" customHeight="1">
      <x:c r="A26" s="6" t="str">
        <x:v>J2</x:v>
      </x:c>
      <x:c r="B26" s="6" t="str">
        <x:v>PPG / 6 WIRES</x:v>
      </x:c>
      <x:c r="C26" s="6" t="str">
        <x:v>Bottom</x:v>
      </x:c>
      <x:c r="D26" s="18" t="n">
        <x:v>101.5</x:v>
      </x:c>
      <x:c r="E26" s="18" t="n">
        <x:v>122.25</x:v>
      </x:c>
      <x:c r="F26" s="20" t="n">
        <x:v>0</x:v>
      </x:c>
      <x:c r="G26" s="20" t="n">
        <x:v>0</x:v>
      </x:c>
      <x:c r="H26" s="6" t="str">
        <x:v>납땜/검사 패드</x:v>
      </x:c>
      <x:c r="I26" s="22" t="str">
        <x:v>아니오</x:v>
      </x:c>
      <x:c r="J26" s="22" t="str">
        <x:v>예</x:v>
      </x:c>
      <x:c r="K26" s="22" t="str">
        <x:v>아니오</x:v>
      </x:c>
      <x:c r="L26" s="22" t="str">
        <x:v>아니오</x:v>
      </x:c>
      <x:c r="M26" s="22" t="str">
        <x:v>아니오</x:v>
      </x:c>
      <x:c r="N26" s="18" t="n">
        <x:v>101.5</x:v>
      </x:c>
      <x:c r="O26" s="18" t="n">
        <x:v>122.25</x:v>
      </x:c>
      <x:c r="P26" s="6" t="str">
        <x:v>Adapter:WirePads_1x06_P1.8mm_D1.2</x:v>
      </x:c>
      <x:c r="Q26" s="6" t="str">
        <x:v>090df79e-d266-451b-93ce-41e96efbaa4e</x:v>
      </x:c>
      <x:c r="R26" s="6" t="str">
        <x:v>{"Reference":"J2","Value":"PPG / 6 WIRES","Datasheet":"","Description":"Wire solder pads; connector mechanical implementation to be reviewed with PCB outline","MPN":"","Manufacturer":""}</x:v>
      </x:c>
    </x:row>
    <x:row r="27" ht="22" customHeight="1">
      <x:c r="A27" s="2" t="str">
        <x:v>J3</x:v>
      </x:c>
      <x:c r="B27" s="2" t="str">
        <x:v>UART / 3.3V OUT</x:v>
      </x:c>
      <x:c r="C27" s="2" t="str">
        <x:v>Bottom</x:v>
      </x:c>
      <x:c r="D27" s="19" t="n">
        <x:v>121.1</x:v>
      </x:c>
      <x:c r="E27" s="19" t="n">
        <x:v>122.25</x:v>
      </x:c>
      <x:c r="F27" s="21" t="n">
        <x:v>0</x:v>
      </x:c>
      <x:c r="G27" s="21" t="n">
        <x:v>0</x:v>
      </x:c>
      <x:c r="H27" s="2" t="str">
        <x:v>납땜/검사 패드</x:v>
      </x:c>
      <x:c r="I27" s="23" t="str">
        <x:v>아니오</x:v>
      </x:c>
      <x:c r="J27" s="23" t="str">
        <x:v>예</x:v>
      </x:c>
      <x:c r="K27" s="23" t="str">
        <x:v>아니오</x:v>
      </x:c>
      <x:c r="L27" s="23" t="str">
        <x:v>아니오</x:v>
      </x:c>
      <x:c r="M27" s="23" t="str">
        <x:v>아니오</x:v>
      </x:c>
      <x:c r="N27" s="19" t="n">
        <x:v>121.1</x:v>
      </x:c>
      <x:c r="O27" s="19" t="n">
        <x:v>122.25</x:v>
      </x:c>
      <x:c r="P27" s="2" t="str">
        <x:v>Adapter:WirePads_1x04_P1.8mm_D1.2</x:v>
      </x:c>
      <x:c r="Q27" s="2" t="str">
        <x:v>c897840c-ef09-4b9d-becc-36a52f066041</x:v>
      </x:c>
      <x:c r="R27" s="2" t="str">
        <x:v>{"Reference":"J3","Value":"UART / 3.3V OUT","Datasheet":"","Description":"Wire solder pads; connector mechanical implementation to be reviewed with PCB outline","MPN":"","Manufacturer":""}</x:v>
      </x:c>
    </x:row>
    <x:row r="28" ht="22" customHeight="1">
      <x:c r="A28" s="6" t="str">
        <x:v>R1</x:v>
      </x:c>
      <x:c r="B28" s="6" t="str">
        <x:v>120 Ω</x:v>
      </x:c>
      <x:c r="C28" s="6" t="str">
        <x:v>Bottom</x:v>
      </x:c>
      <x:c r="D28" s="18" t="n">
        <x:v>106</x:v>
      </x:c>
      <x:c r="E28" s="18" t="n">
        <x:v>116.65</x:v>
      </x:c>
      <x:c r="F28" s="20" t="n">
        <x:v>0</x:v>
      </x:c>
      <x:c r="G28" s="20" t="n">
        <x:v>0</x:v>
      </x:c>
      <x:c r="H28" s="6" t="str">
        <x:v>실장부품</x:v>
      </x:c>
      <x:c r="I28" s="22" t="str">
        <x:v>예</x:v>
      </x:c>
      <x:c r="J28" s="22" t="str">
        <x:v>예</x:v>
      </x:c>
      <x:c r="K28" s="22" t="str">
        <x:v>아니오</x:v>
      </x:c>
      <x:c r="L28" s="22" t="str">
        <x:v>아니오</x:v>
      </x:c>
      <x:c r="M28" s="22" t="str">
        <x:v>아니오</x:v>
      </x:c>
      <x:c r="N28" s="18" t="n">
        <x:v>105.175</x:v>
      </x:c>
      <x:c r="O28" s="18" t="n">
        <x:v>116.65</x:v>
      </x:c>
      <x:c r="P28" s="6" t="str">
        <x:v>Resistor_SMD:R_0603_1608Metric</x:v>
      </x:c>
      <x:c r="Q28" s="6" t="str">
        <x:v>8dc4b39d-e1d4-466e-93cd-94c23ee23054</x:v>
      </x:c>
      <x:c r="R28" s="6" t="str">
        <x:v>{"Reference":"R1","Value":"120 Ω","Datasheet":"","Description":"Receiving-end termination; match existing PPG120ohm architecture","KiLib_Generator":"SMD_2terminal_chip_molded","MPN":"","Manufacturer":"","Tolerance":"1%"}</x:v>
      </x:c>
    </x:row>
    <x:row r="29" ht="22" customHeight="1">
      <x:c r="A29" s="2" t="str">
        <x:v>R2</x:v>
      </x:c>
      <x:c r="B29" s="2" t="str">
        <x:v>22 Ω</x:v>
      </x:c>
      <x:c r="C29" s="2" t="str">
        <x:v>Bottom</x:v>
      </x:c>
      <x:c r="D29" s="19" t="n">
        <x:v>105.05</x:v>
      </x:c>
      <x:c r="E29" s="19" t="n">
        <x:v>114.4</x:v>
      </x:c>
      <x:c r="F29" s="21" t="n">
        <x:v>90</x:v>
      </x:c>
      <x:c r="G29" s="21" t="n">
        <x:v>90</x:v>
      </x:c>
      <x:c r="H29" s="2" t="str">
        <x:v>실장부품</x:v>
      </x:c>
      <x:c r="I29" s="23" t="str">
        <x:v>예</x:v>
      </x:c>
      <x:c r="J29" s="23" t="str">
        <x:v>예</x:v>
      </x:c>
      <x:c r="K29" s="23" t="str">
        <x:v>아니오</x:v>
      </x:c>
      <x:c r="L29" s="23" t="str">
        <x:v>아니오</x:v>
      </x:c>
      <x:c r="M29" s="23" t="str">
        <x:v>아니오</x:v>
      </x:c>
      <x:c r="N29" s="19" t="n">
        <x:v>105.05</x:v>
      </x:c>
      <x:c r="O29" s="19" t="n">
        <x:v>115.225</x:v>
      </x:c>
      <x:c r="P29" s="2" t="str">
        <x:v>Resistor_SMD:R_0603_1608Metric</x:v>
      </x:c>
      <x:c r="Q29" s="2" t="str">
        <x:v>9badec2b-3fbf-4b6b-8c1f-80cc41d0ee53</x:v>
      </x:c>
      <x:c r="R29" s="2" t="str">
        <x:v>{"Reference":"R2","Value":"22 Ω","Datasheet":"","Description":"","KiLib_Generator":"SMD_2terminal_chip_molded","MPN":"","Manufacturer":""}</x:v>
      </x:c>
    </x:row>
    <x:row r="30" ht="22" customHeight="1">
      <x:c r="A30" s="6" t="str">
        <x:v>R3</x:v>
      </x:c>
      <x:c r="B30" s="6" t="str">
        <x:v>22 Ω</x:v>
      </x:c>
      <x:c r="C30" s="6" t="str">
        <x:v>Bottom</x:v>
      </x:c>
      <x:c r="D30" s="18" t="n">
        <x:v>106.95</x:v>
      </x:c>
      <x:c r="E30" s="18" t="n">
        <x:v>114.4</x:v>
      </x:c>
      <x:c r="F30" s="20" t="n">
        <x:v>90</x:v>
      </x:c>
      <x:c r="G30" s="20" t="n">
        <x:v>90</x:v>
      </x:c>
      <x:c r="H30" s="6" t="str">
        <x:v>실장부품</x:v>
      </x:c>
      <x:c r="I30" s="22" t="str">
        <x:v>예</x:v>
      </x:c>
      <x:c r="J30" s="22" t="str">
        <x:v>예</x:v>
      </x:c>
      <x:c r="K30" s="22" t="str">
        <x:v>아니오</x:v>
      </x:c>
      <x:c r="L30" s="22" t="str">
        <x:v>아니오</x:v>
      </x:c>
      <x:c r="M30" s="22" t="str">
        <x:v>아니오</x:v>
      </x:c>
      <x:c r="N30" s="18" t="n">
        <x:v>106.95</x:v>
      </x:c>
      <x:c r="O30" s="18" t="n">
        <x:v>115.225</x:v>
      </x:c>
      <x:c r="P30" s="6" t="str">
        <x:v>Resistor_SMD:R_0603_1608Metric</x:v>
      </x:c>
      <x:c r="Q30" s="6" t="str">
        <x:v>1c01be22-29d3-49e9-a4ea-8d1628fcecba</x:v>
      </x:c>
      <x:c r="R30" s="6" t="str">
        <x:v>{"Reference":"R3","Value":"22 Ω","Datasheet":"","Description":"","KiLib_Generator":"SMD_2terminal_chip_molded","MPN":"","Manufacturer":""}</x:v>
      </x:c>
    </x:row>
    <x:row r="31" ht="22" customHeight="1">
      <x:c r="A31" s="2" t="str">
        <x:v>R4</x:v>
      </x:c>
      <x:c r="B31" s="2" t="str">
        <x:v>22 Ω</x:v>
      </x:c>
      <x:c r="C31" s="2" t="str">
        <x:v>Bottom</x:v>
      </x:c>
      <x:c r="D31" s="19" t="n">
        <x:v>108.65</x:v>
      </x:c>
      <x:c r="E31" s="19" t="n">
        <x:v>114.4</x:v>
      </x:c>
      <x:c r="F31" s="21" t="n">
        <x:v>-90</x:v>
      </x:c>
      <x:c r="G31" s="21" t="n">
        <x:v>-90</x:v>
      </x:c>
      <x:c r="H31" s="2" t="str">
        <x:v>실장부품</x:v>
      </x:c>
      <x:c r="I31" s="23" t="str">
        <x:v>예</x:v>
      </x:c>
      <x:c r="J31" s="23" t="str">
        <x:v>예</x:v>
      </x:c>
      <x:c r="K31" s="23" t="str">
        <x:v>아니오</x:v>
      </x:c>
      <x:c r="L31" s="23" t="str">
        <x:v>아니오</x:v>
      </x:c>
      <x:c r="M31" s="23" t="str">
        <x:v>아니오</x:v>
      </x:c>
      <x:c r="N31" s="19" t="n">
        <x:v>108.65</x:v>
      </x:c>
      <x:c r="O31" s="19" t="n">
        <x:v>113.575</x:v>
      </x:c>
      <x:c r="P31" s="2" t="str">
        <x:v>Resistor_SMD:R_0603_1608Metric</x:v>
      </x:c>
      <x:c r="Q31" s="2" t="str">
        <x:v>1f32eede-c9cc-4656-b99c-2e8db0cfb829</x:v>
      </x:c>
      <x:c r="R31" s="2" t="str">
        <x:v>{"Reference":"R4","Value":"22 Ω","Datasheet":"","Description":"","KiLib_Generator":"SMD_2terminal_chip_molded","MPN":"","Manufacturer":""}</x:v>
      </x:c>
    </x:row>
    <x:row r="32" ht="22" customHeight="1">
      <x:c r="A32" s="6" t="str">
        <x:v>R5</x:v>
      </x:c>
      <x:c r="B32" s="6" t="str">
        <x:v>22 Ω</x:v>
      </x:c>
      <x:c r="C32" s="6" t="str">
        <x:v>Bottom</x:v>
      </x:c>
      <x:c r="D32" s="18" t="n">
        <x:v>110.55</x:v>
      </x:c>
      <x:c r="E32" s="18" t="n">
        <x:v>114.4</x:v>
      </x:c>
      <x:c r="F32" s="20" t="n">
        <x:v>-90</x:v>
      </x:c>
      <x:c r="G32" s="20" t="n">
        <x:v>-90</x:v>
      </x:c>
      <x:c r="H32" s="6" t="str">
        <x:v>실장부품</x:v>
      </x:c>
      <x:c r="I32" s="22" t="str">
        <x:v>예</x:v>
      </x:c>
      <x:c r="J32" s="22" t="str">
        <x:v>예</x:v>
      </x:c>
      <x:c r="K32" s="22" t="str">
        <x:v>아니오</x:v>
      </x:c>
      <x:c r="L32" s="22" t="str">
        <x:v>아니오</x:v>
      </x:c>
      <x:c r="M32" s="22" t="str">
        <x:v>아니오</x:v>
      </x:c>
      <x:c r="N32" s="18" t="n">
        <x:v>110.55</x:v>
      </x:c>
      <x:c r="O32" s="18" t="n">
        <x:v>113.575</x:v>
      </x:c>
      <x:c r="P32" s="6" t="str">
        <x:v>Resistor_SMD:R_0603_1608Metric</x:v>
      </x:c>
      <x:c r="Q32" s="6" t="str">
        <x:v>07d54200-9121-460b-8bfc-4ab28027cb26</x:v>
      </x:c>
      <x:c r="R32" s="6" t="str">
        <x:v>{"Reference":"R5","Value":"22 Ω","Datasheet":"","Description":"","KiLib_Generator":"SMD_2terminal_chip_molded","MPN":"","Manufacturer":""}</x:v>
      </x:c>
    </x:row>
    <x:row r="33" ht="22" customHeight="1">
      <x:c r="A33" s="2" t="str">
        <x:v>R6</x:v>
      </x:c>
      <x:c r="B33" s="2" t="str">
        <x:v>10 kΩ</x:v>
      </x:c>
      <x:c r="C33" s="2" t="str">
        <x:v>Bottom</x:v>
      </x:c>
      <x:c r="D33" s="19" t="n">
        <x:v>124.7</x:v>
      </x:c>
      <x:c r="E33" s="19" t="n">
        <x:v>114.3</x:v>
      </x:c>
      <x:c r="F33" s="21" t="n">
        <x:v>-90</x:v>
      </x:c>
      <x:c r="G33" s="21" t="n">
        <x:v>-90</x:v>
      </x:c>
      <x:c r="H33" s="2" t="str">
        <x:v>실장부품</x:v>
      </x:c>
      <x:c r="I33" s="23" t="str">
        <x:v>예</x:v>
      </x:c>
      <x:c r="J33" s="23" t="str">
        <x:v>예</x:v>
      </x:c>
      <x:c r="K33" s="23" t="str">
        <x:v>아니오</x:v>
      </x:c>
      <x:c r="L33" s="23" t="str">
        <x:v>아니오</x:v>
      </x:c>
      <x:c r="M33" s="23" t="str">
        <x:v>아니오</x:v>
      </x:c>
      <x:c r="N33" s="19" t="n">
        <x:v>124.7</x:v>
      </x:c>
      <x:c r="O33" s="19" t="n">
        <x:v>113.475</x:v>
      </x:c>
      <x:c r="P33" s="2" t="str">
        <x:v>Resistor_SMD:R_0603_1608Metric</x:v>
      </x:c>
      <x:c r="Q33" s="2" t="str">
        <x:v>71c4985d-68f8-4574-abf8-77066c1915a0</x:v>
      </x:c>
      <x:c r="R33" s="2" t="str">
        <x:v>{"Reference":"R6","Value":"10 kΩ","Datasheet":"","Description":"","KiLib_Generator":"SMD_2terminal_chip_molded","MPN":"","Manufacturer":""}</x:v>
      </x:c>
    </x:row>
    <x:row r="34" ht="22" customHeight="1">
      <x:c r="A34" s="6" t="str">
        <x:v>R7</x:v>
      </x:c>
      <x:c r="B34" s="6" t="str">
        <x:v>100 Ω</x:v>
      </x:c>
      <x:c r="C34" s="6" t="str">
        <x:v>Bottom</x:v>
      </x:c>
      <x:c r="D34" s="18" t="n">
        <x:v>122.9</x:v>
      </x:c>
      <x:c r="E34" s="18" t="n">
        <x:v>118.3</x:v>
      </x:c>
      <x:c r="F34" s="20" t="n">
        <x:v>-90</x:v>
      </x:c>
      <x:c r="G34" s="20" t="n">
        <x:v>-90</x:v>
      </x:c>
      <x:c r="H34" s="6" t="str">
        <x:v>실장부품</x:v>
      </x:c>
      <x:c r="I34" s="22" t="str">
        <x:v>예</x:v>
      </x:c>
      <x:c r="J34" s="22" t="str">
        <x:v>예</x:v>
      </x:c>
      <x:c r="K34" s="22" t="str">
        <x:v>아니오</x:v>
      </x:c>
      <x:c r="L34" s="22" t="str">
        <x:v>아니오</x:v>
      </x:c>
      <x:c r="M34" s="22" t="str">
        <x:v>아니오</x:v>
      </x:c>
      <x:c r="N34" s="18" t="n">
        <x:v>122.9</x:v>
      </x:c>
      <x:c r="O34" s="18" t="n">
        <x:v>117.475</x:v>
      </x:c>
      <x:c r="P34" s="6" t="str">
        <x:v>Resistor_SMD:R_0603_1608Metric</x:v>
      </x:c>
      <x:c r="Q34" s="6" t="str">
        <x:v>1e854749-3323-4855-b4cc-494d461480d8</x:v>
      </x:c>
      <x:c r="R34" s="6" t="str">
        <x:v>{"Reference":"R7","Value":"100 Ω","Datasheet":"","Description":"","KiLib_Generator":"SMD_2terminal_chip_molded","MPN":"","Manufacturer":""}</x:v>
      </x:c>
    </x:row>
    <x:row r="35" ht="22" customHeight="1">
      <x:c r="A35" s="2" t="str">
        <x:v>R8</x:v>
      </x:c>
      <x:c r="B35" s="2" t="str">
        <x:v>100 Ω</x:v>
      </x:c>
      <x:c r="C35" s="2" t="str">
        <x:v>Bottom</x:v>
      </x:c>
      <x:c r="D35" s="19" t="n">
        <x:v>124.7</x:v>
      </x:c>
      <x:c r="E35" s="19" t="n">
        <x:v>118.3</x:v>
      </x:c>
      <x:c r="F35" s="21" t="n">
        <x:v>90</x:v>
      </x:c>
      <x:c r="G35" s="21" t="n">
        <x:v>90</x:v>
      </x:c>
      <x:c r="H35" s="2" t="str">
        <x:v>실장부품</x:v>
      </x:c>
      <x:c r="I35" s="23" t="str">
        <x:v>예</x:v>
      </x:c>
      <x:c r="J35" s="23" t="str">
        <x:v>예</x:v>
      </x:c>
      <x:c r="K35" s="23" t="str">
        <x:v>아니오</x:v>
      </x:c>
      <x:c r="L35" s="23" t="str">
        <x:v>아니오</x:v>
      </x:c>
      <x:c r="M35" s="23" t="str">
        <x:v>아니오</x:v>
      </x:c>
      <x:c r="N35" s="19" t="n">
        <x:v>124.7</x:v>
      </x:c>
      <x:c r="O35" s="19" t="n">
        <x:v>119.125</x:v>
      </x:c>
      <x:c r="P35" s="2" t="str">
        <x:v>Resistor_SMD:R_0603_1608Metric</x:v>
      </x:c>
      <x:c r="Q35" s="2" t="str">
        <x:v>cf394f0a-f0c9-4c90-a2b5-e0d546c08fd6</x:v>
      </x:c>
      <x:c r="R35" s="2" t="str">
        <x:v>{"Reference":"R8","Value":"100 Ω","Datasheet":"","Description":"","KiLib_Generator":"SMD_2terminal_chip_molded","MPN":"","Manufacturer":""}</x:v>
      </x:c>
    </x:row>
    <x:row r="36" ht="22" customHeight="1">
      <x:c r="A36" s="6" t="str">
        <x:v>R9</x:v>
      </x:c>
      <x:c r="B36" s="6" t="str">
        <x:v>1 Ω</x:v>
      </x:c>
      <x:c r="C36" s="6" t="str">
        <x:v>Bottom</x:v>
      </x:c>
      <x:c r="D36" s="18" t="n">
        <x:v>119</x:v>
      </x:c>
      <x:c r="E36" s="18" t="n">
        <x:v>105</x:v>
      </x:c>
      <x:c r="F36" s="20" t="n">
        <x:v>0</x:v>
      </x:c>
      <x:c r="G36" s="20" t="n">
        <x:v>0</x:v>
      </x:c>
      <x:c r="H36" s="6" t="str">
        <x:v>실장부품</x:v>
      </x:c>
      <x:c r="I36" s="22" t="str">
        <x:v>예</x:v>
      </x:c>
      <x:c r="J36" s="22" t="str">
        <x:v>예</x:v>
      </x:c>
      <x:c r="K36" s="22" t="str">
        <x:v>아니오</x:v>
      </x:c>
      <x:c r="L36" s="22" t="str">
        <x:v>아니오</x:v>
      </x:c>
      <x:c r="M36" s="22" t="str">
        <x:v>아니오</x:v>
      </x:c>
      <x:c r="N36" s="18" t="n">
        <x:v>117.5375</x:v>
      </x:c>
      <x:c r="O36" s="18" t="n">
        <x:v>105</x:v>
      </x:c>
      <x:c r="P36" s="6" t="str">
        <x:v>Resistor_SMD:R_1206_3216Metric</x:v>
      </x:c>
      <x:c r="Q36" s="6" t="str">
        <x:v>29267814-8eab-4c9e-9b11-b46537042350</x:v>
      </x:c>
      <x:c r="R36" s="6" t="str">
        <x:v>{"Reference":"R9","Value":"1 Ω","Datasheet":"","Description":"LD1117 ceramic output ESR resistor in capacitor branch only; not in load supply path","KiLib_Generator":"SMD_2terminal_chip_molded","MPN":"","Manufacturer":""}</x:v>
      </x:c>
    </x:row>
    <x:row r="37" ht="22" customHeight="1">
      <x:c r="A37" s="2" t="str">
        <x:v>U1</x:v>
      </x:c>
      <x:c r="B37" s="2" t="str">
        <x:v>LD1117S33TR</x:v>
      </x:c>
      <x:c r="C37" s="2" t="str">
        <x:v>Bottom</x:v>
      </x:c>
      <x:c r="D37" s="19" t="n">
        <x:v>112</x:v>
      </x:c>
      <x:c r="E37" s="19" t="n">
        <x:v>105</x:v>
      </x:c>
      <x:c r="F37" s="21" t="n">
        <x:v>0</x:v>
      </x:c>
      <x:c r="G37" s="21" t="n">
        <x:v>0</x:v>
      </x:c>
      <x:c r="H37" s="2" t="str">
        <x:v>실장부품</x:v>
      </x:c>
      <x:c r="I37" s="23" t="str">
        <x:v>예</x:v>
      </x:c>
      <x:c r="J37" s="23" t="str">
        <x:v>예</x:v>
      </x:c>
      <x:c r="K37" s="23" t="str">
        <x:v>아니오</x:v>
      </x:c>
      <x:c r="L37" s="23" t="str">
        <x:v>아니오</x:v>
      </x:c>
      <x:c r="M37" s="23" t="str">
        <x:v>아니오</x:v>
      </x:c>
      <x:c r="N37" s="19" t="n">
        <x:v>108.85</x:v>
      </x:c>
      <x:c r="O37" s="19" t="n">
        <x:v>107.3</x:v>
      </x:c>
      <x:c r="P37" s="2" t="str">
        <x:v>Package_TO_SOT_SMD:SOT-223-3_TabPin2</x:v>
      </x:c>
      <x:c r="Q37" s="2" t="str">
        <x:v>54ffaea5-62db-4124-93f9-e8d4f1b7310b</x:v>
      </x:c>
      <x:c r="R37" s="2" t="str">
        <x:v>{"Reference":"U1","Value":"LD1117S33TR","Datasheet":"https://www.st.com/resource/en/datasheet/ld1117.pdf","Description":"User-selected fixed 3.3V LDO; pins1 GND,2 OUT,3 IN; tab electrically OUT","MPN":"LD1117S33TR","Manufacturer":"STMicroelectronics"}</x:v>
      </x:c>
    </x:row>
    <x:row r="38" ht="22" customHeight="1">
      <x:c r="A38" s="6" t="str">
        <x:v>U2</x:v>
      </x:c>
      <x:c r="B38" s="6" t="str">
        <x:v>XR33194ESBTR</x:v>
      </x:c>
      <x:c r="C38" s="6" t="str">
        <x:v>Bottom</x:v>
      </x:c>
      <x:c r="D38" s="18" t="n">
        <x:v>109.6</x:v>
      </x:c>
      <x:c r="E38" s="18" t="n">
        <x:v>111</x:v>
      </x:c>
      <x:c r="F38" s="20" t="n">
        <x:v>-90</x:v>
      </x:c>
      <x:c r="G38" s="20" t="n">
        <x:v>-90</x:v>
      </x:c>
      <x:c r="H38" s="6" t="str">
        <x:v>실장부품</x:v>
      </x:c>
      <x:c r="I38" s="22" t="str">
        <x:v>예</x:v>
      </x:c>
      <x:c r="J38" s="22" t="str">
        <x:v>예</x:v>
      </x:c>
      <x:c r="K38" s="22" t="str">
        <x:v>아니오</x:v>
      </x:c>
      <x:c r="L38" s="22" t="str">
        <x:v>아니오</x:v>
      </x:c>
      <x:c r="M38" s="22" t="str">
        <x:v>아니오</x:v>
      </x:c>
      <x:c r="N38" s="18" t="n">
        <x:v>108.65</x:v>
      </x:c>
      <x:c r="O38" s="18" t="n">
        <x:v>109.8</x:v>
      </x:c>
      <x:c r="P38" s="6" t="str">
        <x:v>Adapter:TSOT23-6_MaxLinear</x:v>
      </x:c>
      <x:c r="Q38" s="6" t="str">
        <x:v>73775c62-0c37-43a0-9403-f7173b69e421</x:v>
      </x:c>
      <x:c r="R38" s="6" t="str">
        <x:v>{"Reference":"U2","Value":"XR33194ESBTR","Datasheet":"https://www.maxlinear.com/ds/xr33193_xr33194_xr33195.pdf","Description":"Always enabled full-duplex driver; outputs go to PPG RXP/RXN","MPN":"XR33194ESBTR","Manufacturer":"MaxLinear"}</x:v>
      </x:c>
    </x:row>
    <x:row r="39" ht="22" customHeight="1">
      <x:c r="A39" s="2" t="str">
        <x:v>U3</x:v>
      </x:c>
      <x:c r="B39" s="2" t="str">
        <x:v>XR33183ESBTR</x:v>
      </x:c>
      <x:c r="C39" s="2" t="str">
        <x:v>Bottom</x:v>
      </x:c>
      <x:c r="D39" s="19" t="n">
        <x:v>106</x:v>
      </x:c>
      <x:c r="E39" s="19" t="n">
        <x:v>111</x:v>
      </x:c>
      <x:c r="F39" s="21" t="n">
        <x:v>-90</x:v>
      </x:c>
      <x:c r="G39" s="21" t="n">
        <x:v>-90</x:v>
      </x:c>
      <x:c r="H39" s="2" t="str">
        <x:v>실장부품</x:v>
      </x:c>
      <x:c r="I39" s="23" t="str">
        <x:v>예</x:v>
      </x:c>
      <x:c r="J39" s="23" t="str">
        <x:v>예</x:v>
      </x:c>
      <x:c r="K39" s="23" t="str">
        <x:v>아니오</x:v>
      </x:c>
      <x:c r="L39" s="23" t="str">
        <x:v>아니오</x:v>
      </x:c>
      <x:c r="M39" s="23" t="str">
        <x:v>아니오</x:v>
      </x:c>
      <x:c r="N39" s="19" t="n">
        <x:v>105.05</x:v>
      </x:c>
      <x:c r="O39" s="19" t="n">
        <x:v>109.8</x:v>
      </x:c>
      <x:c r="P39" s="2" t="str">
        <x:v>Adapter:TSOT23-6_MaxLinear</x:v>
      </x:c>
      <x:c r="Q39" s="2" t="str">
        <x:v>69711e83-4dbc-44f4-9db7-4c45873d05bb</x:v>
      </x:c>
      <x:c r="R39" s="2" t="str">
        <x:v>{"Reference":"U3","Value":"XR33183ESBTR","Datasheet":"https://www.maxlinear.com/ds/xr33180_xr33181_xr33183_xr33184.pdf","Description":"Receiver of PPG TX pair; active-low EN tied to GND","MPN":"XR33183ESBTR","Manufacturer":"MaxLinear"}</x:v>
      </x:c>
    </x:row>
  </x:sheetData>
  <x:pageMargins left="0.7" right="0.7" top="0.75" bottom="0.75" header="0.3" footer="0.3"/>
  <x:tableParts count="1">
    <x:tablePart xmlns:r="http://schemas.openxmlformats.org/officeDocument/2006/relationships" r:id="R25eeaf8ff9ad4d15"/>
  </x:tableParts>
</x:worksheet>
</file>

<file path=xl/worksheets/sheet4.xml><?xml version="1.0" encoding="utf-8"?>
<x:worksheet xmlns:x="http://schemas.openxmlformats.org/spreadsheetml/2006/main">
  <x:sheetPr>
    <x:tabColor rgb="FF6C8192"/>
  </x:sheetPr>
  <x:sheetViews>
    <x:sheetView showGridLines="0" workbookViewId="0"/>
  </x:sheetViews>
  <x:sheetFormatPr defaultRowHeight="15"/>
  <x:cols>
    <x:col min="1" max="1" width="20" hidden="0" customWidth="1"/>
    <x:col min="2" max="2" width="23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17" hidden="0" customWidth="1"/>
    <x:col min="8" max="8" width="18" hidden="0" customWidth="1"/>
    <x:col min="9" max="9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좌표 기준 및 실장 범위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5" t="str">
        <x:v>보드</x:v>
      </x:c>
      <x:c r="B5" s="16" t="str">
        <x:v>원본 기준 X</x:v>
      </x:c>
      <x:c r="C5" s="16" t="str">
        <x:v>원본 기준 Y</x:v>
      </x:c>
      <x:c r="D5" s="16" t="str">
        <x:v>배열 기준 X</x:v>
      </x:c>
      <x:c r="E5" s="16" t="str">
        <x:v>배열 기준 Y</x:v>
      </x:c>
      <x:c r="F5" s="16" t="str">
        <x:v>보드 회전 (°)</x:v>
      </x:c>
      <x:c r="G5" s="16" t="str">
        <x:v>전체 기록</x:v>
      </x:c>
      <x:c r="H5" s="16" t="str">
        <x:v>SMT 대상</x:v>
      </x:c>
      <x:c r="I5" s="17" t="str">
        <x:v>POS 기록</x:v>
      </x:c>
    </x:row>
    <x:row r="6" ht="22" customHeight="1">
      <x:c r="A6" s="2" t="str">
        <x:v>PPG</x:v>
      </x:c>
      <x:c r="B6" s="19" t="n">
        <x:v>20</x:v>
      </x:c>
      <x:c r="C6" s="19" t="n">
        <x:v>17</x:v>
      </x:c>
      <x:c r="D6" s="19" t="n">
        <x:v>66.75</x:v>
      </x:c>
      <x:c r="E6" s="19" t="n">
        <x:v>17.5</x:v>
      </x:c>
      <x:c r="F6" s="24" t="n">
        <x:v>0</x:v>
      </x:c>
      <x:c r="G6" s="24" t="n">
        <x:v>42</x:v>
      </x:c>
      <x:c r="H6" s="24" t="n">
        <x:v>31</x:v>
      </x:c>
      <x:c r="I6" s="24" t="n">
        <x:v>42</x:v>
      </x:c>
    </x:row>
    <x:row r="7" ht="22" customHeight="1">
      <x:c r="A7" s="2" t="str">
        <x:v>UART</x:v>
      </x:c>
      <x:c r="B7" s="19" t="n">
        <x:v>88</x:v>
      </x:c>
      <x:c r="C7" s="19" t="n">
        <x:v>123.5</x:v>
      </x:c>
      <x:c r="D7" s="19" t="n">
        <x:v>5</x:v>
      </x:c>
      <x:c r="E7" s="19" t="n">
        <x:v>5</x:v>
      </x:c>
      <x:c r="F7" s="24" t="n">
        <x:v>0</x:v>
      </x:c>
      <x:c r="G7" s="24" t="n">
        <x:v>32</x:v>
      </x:c>
      <x:c r="H7" s="24" t="n">
        <x:v>25</x:v>
      </x:c>
      <x:c r="I7" s="24" t="n">
        <x:v>28</x:v>
      </x:c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32" customHeight="1">
      <x:c r="A10" s="25" t="str">
        <x:v>좌표 단위</x:v>
      </x:c>
      <x:c r="B10" s="26" t="str">
        <x:v>모든 X/Y 좌표는 mm, 각도는 °입니다.</x:v>
      </x:c>
      <x:c r="C10" s="2"/>
      <x:c r="D10" s="2"/>
      <x:c r="E10" s="2"/>
      <x:c r="F10" s="2"/>
      <x:c r="G10" s="2"/>
      <x:c r="H10" s="2"/>
      <x:c r="I10" s="2"/>
    </x:row>
    <x:row r="11" ht="32" customHeight="1">
      <x:c r="A11" s="25" t="str">
        <x:v>배열 원점</x:v>
      </x:c>
      <x:c r="B11" s="26" t="str">
        <x:v>연배열 도면의 좌하단 기준 (0, 0)입니다. Top에서 보았을 때 X는 오른쪽, Y는 위쪽이 +입니다.</x:v>
      </x:c>
      <x:c r="C11" s="2"/>
      <x:c r="D11" s="2"/>
      <x:c r="E11" s="2"/>
      <x:c r="F11" s="2"/>
      <x:c r="G11" s="2"/>
      <x:c r="H11" s="2"/>
      <x:c r="I11" s="2"/>
    </x:row>
    <x:row r="12" ht="32" customHeight="1">
      <x:c r="A12" s="25" t="str">
        <x:v>면 표시</x:v>
      </x:c>
      <x:c r="B12" s="26" t="str">
        <x:v>Top = F.Cu, Bottom = B.Cu. Bottom도 공통 Top 시점 좌표로 표시하며 X 반전은 적용하지 않았습니다.</x:v>
      </x:c>
      <x:c r="C12" s="2"/>
      <x:c r="D12" s="2"/>
      <x:c r="E12" s="2"/>
      <x:c r="F12" s="2"/>
      <x:c r="G12" s="2"/>
      <x:c r="H12" s="2"/>
      <x:c r="I12" s="2"/>
    </x:row>
    <x:row r="13" ht="32" customHeight="1">
      <x:c r="A13" s="25" t="str">
        <x:v>단품 원점</x:v>
      </x:c>
      <x:c r="B13" s="26" t="str">
        <x:v>PPG는 원형 보드 중심 (원본 20, 17), UART는 외곽 좌하단 (원본 88, 123.5)입니다.</x:v>
      </x:c>
      <x:c r="C13" s="2"/>
      <x:c r="D13" s="2"/>
      <x:c r="E13" s="2"/>
      <x:c r="F13" s="2"/>
      <x:c r="G13" s="2"/>
      <x:c r="H13" s="2"/>
      <x:c r="I13" s="2"/>
    </x:row>
    <x:row r="14" ht="32" customHeight="1">
      <x:c r="A14" s="25" t="str">
        <x:v>좌표 변환</x:v>
      </x:c>
      <x:c r="B14" s="26" t="str">
        <x:v>단품 X = 원본 X − 원본 기준 X. 단품 Y = 원본 기준 Y − 원본 Y. 배열 X/Y = 단품 X/Y + 배열 기준 X/Y.</x:v>
      </x:c>
      <x:c r="C14" s="2"/>
      <x:c r="D14" s="2"/>
      <x:c r="E14" s="2"/>
      <x:c r="F14" s="2"/>
      <x:c r="G14" s="2"/>
      <x:c r="H14" s="2"/>
      <x:c r="I14" s="2"/>
    </x:row>
    <x:row r="15" ht="32" customHeight="1">
      <x:c r="A15" s="25" t="str">
        <x:v>부품 기준점</x:v>
      </x:c>
      <x:c r="B15" s="26" t="str">
        <x:v>X/Y는 KiCad 풋프린트 기준점(anchor)입니다. 실제 부품 몸체의 중심 또는 흡착 중심과 다를 수 있습니다.</x:v>
      </x:c>
      <x:c r="C15" s="2"/>
      <x:c r="D15" s="2"/>
      <x:c r="E15" s="2"/>
      <x:c r="F15" s="2"/>
      <x:c r="G15" s="2"/>
      <x:c r="H15" s="2"/>
      <x:c r="I15" s="2"/>
    </x:row>
    <x:row r="16" ht="32" customHeight="1">
      <x:c r="A16" s="25" t="str">
        <x:v>각도 기준</x:v>
      </x:c>
      <x:c r="B16" s="26" t="str">
        <x:v>원본 KiCad 각도를 그대로 사용합니다. 양면 모두 native POS CSV와 일치함을 확인했습니다. 음수 각도를 유지합니다.</x:v>
      </x:c>
      <x:c r="C16" s="2"/>
      <x:c r="D16" s="2"/>
      <x:c r="E16" s="2"/>
      <x:c r="F16" s="2"/>
      <x:c r="G16" s="2"/>
      <x:c r="H16" s="2"/>
      <x:c r="I16" s="2"/>
    </x:row>
    <x:row r="17" ht="32" customHeight="1">
      <x:c r="A17" s="25" t="str">
        <x:v>실장 방향</x:v>
      </x:c>
      <x:c r="B17" s="26" t="str">
        <x:v>SMT 업체의 부품 라이브러리 0° 및 Bottom 회전 규약에 맞춰 검토해야 합니다. 풋프린트 핀 1 원본 좌표를 함께 제공합니다.</x:v>
      </x:c>
      <x:c r="C17" s="2"/>
      <x:c r="D17" s="2"/>
      <x:c r="E17" s="2"/>
      <x:c r="F17" s="2"/>
      <x:c r="G17" s="2"/>
      <x:c r="H17" s="2"/>
      <x:c r="I17" s="2"/>
    </x:row>
    <x:row r="18" ht="32" customHeight="1">
      <x:c r="A18" s="25" t="str">
        <x:v>SMT 대상</x:v>
      </x:c>
      <x:c r="B18" s="26" t="str">
        <x:v>실장부품 중 SMD 속성 있음, POS 제외 아님, DNP 아님인 항목을 예로 표시했습니다.</x:v>
      </x:c>
      <x:c r="C18" s="2"/>
      <x:c r="D18" s="2"/>
      <x:c r="E18" s="2"/>
      <x:c r="F18" s="2"/>
      <x:c r="G18" s="2"/>
      <x:c r="H18" s="2"/>
      <x:c r="I18" s="2"/>
    </x:row>
    <x:row r="19" ht="32" customHeight="1">
      <x:c r="A19" s="25" t="str">
        <x:v>전체 기록</x:v>
      </x:c>
      <x:c r="B19" s="26" t="str">
        <x:v>실장부품 56개, 납땜/검사 패드 14개, 기구홀 4개를 모두 보존했습니다. SMT 비대상도 숨기거나 삭제하지 않았습니다.</x:v>
      </x:c>
      <x:c r="C19" s="2"/>
      <x:c r="D19" s="2"/>
      <x:c r="E19" s="2"/>
      <x:c r="F19" s="2"/>
      <x:c r="G19" s="2"/>
      <x:c r="H19" s="2"/>
      <x:c r="I19" s="2"/>
    </x:row>
    <x:row r="20" ht="38" customHeight="1">
      <x:c r="A20" s="25" t="str">
        <x:v>원본 POS</x:v>
      </x:c>
      <x:c r="B20" s="26" t="str">
        <x:v>native POS CSV는 PPG 42개와 UART 28개를 포함합니다. UART H1~H4는 POS 제외 속성 때문에 CSV에서 빠지지만 본 파일에 포함됩니다.</x:v>
      </x:c>
      <x:c r="C20" s="2"/>
      <x:c r="D20" s="2"/>
      <x:c r="E20" s="2"/>
      <x:c r="F20" s="2"/>
      <x:c r="G20" s="2"/>
      <x:c r="H20" s="2"/>
      <x:c r="I20" s="2"/>
    </x:row>
    <x:row r="21" ht="32" customHeight="1">
      <x:c r="A21" s="25" t="str">
        <x:v>실장 식별</x:v>
      </x:c>
      <x:c r="B21" s="26" t="str">
        <x:v>배열 ID는 보드_Ref 형식입니다. 실제 PCB Ref와 구별하여 같은 이름의 부품이 두 보드에서 혼동되지 않도록 했습니다.</x:v>
      </x:c>
      <x:c r="C21" s="2"/>
      <x:c r="D21" s="2"/>
      <x:c r="E21" s="2"/>
      <x:c r="F21" s="2"/>
      <x:c r="G21" s="2"/>
      <x:c r="H21" s="2"/>
      <x:c r="I21" s="2"/>
    </x:row>
    <x:row r="22" ht="32" customHeight="1">
      <x:c r="A22" s="25" t="str">
        <x:v>재생성 조건</x:v>
      </x:c>
      <x:c r="B22" s="26" t="str">
        <x:v>제조사가 배열 위치·회전·원점 또는 CAM 배열을 변경하면 배열 좌표를 다시 생성해야 합니다.</x:v>
      </x:c>
      <x:c r="C22" s="2"/>
      <x:c r="D22" s="2"/>
      <x:c r="E22" s="2"/>
      <x:c r="F22" s="2"/>
      <x:c r="G22" s="2"/>
      <x:c r="H22" s="2"/>
      <x:c r="I22" s="2"/>
    </x:row>
    <x:row r="23" ht="32" customHeight="1">
      <x:c r="A23" s="25" t="str">
        <x:v>기준 자료</x:v>
      </x:c>
      <x:c r="B23" s="26" t="str">
        <x:v>2026-10-09 저장 PCB에서 추출했습니다. 원본 파일명과 SHA-256은 각 원본 시트에 기재했습니다.</x:v>
      </x:c>
      <x:c r="C23" s="2"/>
      <x:c r="D23" s="2"/>
      <x:c r="E23" s="2"/>
      <x:c r="F23" s="2"/>
      <x:c r="G23" s="2"/>
      <x:c r="H23" s="2"/>
      <x:c r="I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2" customHeight="1">
      <x:c r="A26" s="25" t="str">
        <x:v>표시 열의 의미</x:v>
      </x:c>
      <x:c r="B26" s="2"/>
      <x:c r="C26" s="2"/>
      <x:c r="D26" s="2"/>
      <x:c r="E26" s="2"/>
      <x:c r="F26" s="2"/>
      <x:c r="G26" s="2"/>
      <x:c r="H26" s="2"/>
      <x:c r="I26" s="2"/>
    </x:row>
    <x:row r="27" ht="22" customHeight="1">
      <x:c r="A27" s="2" t="str">
        <x:v>POS 제외 / BOM 제외 / DNP / SMD 속성은 원본 PCB의 설정이며, SMT 대상은 위 기준에 따른 구분입니다.</x:v>
      </x:c>
      <x:c r="B27" s="2"/>
      <x:c r="C27" s="2"/>
      <x:c r="D27" s="2"/>
      <x:c r="E27" s="2"/>
      <x:c r="F27" s="2"/>
      <x:c r="G27" s="2"/>
      <x:c r="H27" s="2"/>
      <x:c r="I27" s="2"/>
    </x:row>
    <x:row r="28" ht="22" customHeight="1">
      <x:c r="A28" s="2" t="str">
        <x:v>원본 속성 열은 풋프린트에 저장된 필드 전체를 JSON 텍스트로 보존합니다.</x:v>
      </x:c>
      <x:c r="B28" s="2"/>
      <x:c r="C28" s="2"/>
      <x:c r="D28" s="2"/>
      <x:c r="E28" s="2"/>
      <x:c r="F28" s="2"/>
      <x:c r="G28" s="2"/>
      <x:c r="H28" s="2"/>
      <x:c r="I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</x:row>
  </x:sheetData>
  <x:mergeCells>
    <x:mergeCell ref="B10:I10"/>
    <x:mergeCell ref="B11:I11"/>
    <x:mergeCell ref="B12:I12"/>
    <x:mergeCell ref="B13:I13"/>
    <x:mergeCell ref="B14:I14"/>
    <x:mergeCell ref="B15:I15"/>
    <x:mergeCell ref="B16:I16"/>
    <x:mergeCell ref="B17:I17"/>
    <x:mergeCell ref="B18:I18"/>
    <x:mergeCell ref="B19:I19"/>
    <x:mergeCell ref="B20:I20"/>
    <x:mergeCell ref="B21:I21"/>
    <x:mergeCell ref="B22:I22"/>
    <x:mergeCell ref="B23:I23"/>
  </x:mergeCells>
  <x:pageMargins left="0.7" right="0.7" top="0.75" bottom="0.75" header="0.3" footer="0.3"/>
</x:worksheet>
</file>